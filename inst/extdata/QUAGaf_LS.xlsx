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ml.chartshapes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ml.chartshapes+xml"/>
  <Override PartName="/xl/charts/chart17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ml.chartshapes+xml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0.xml" ContentType="application/vnd.openxmlformats-officedocument.drawingml.chartshapes+xml"/>
  <Override PartName="/xl/charts/chart2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14.xml" ContentType="application/vnd.openxmlformats-officedocument.drawingml.chartshapes+xml"/>
  <Override PartName="/xl/drawings/drawing15.xml" ContentType="application/vnd.openxmlformats-officedocument.drawing+xml"/>
  <Override PartName="/xl/charts/chart2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3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F8F1E45C-970F-AA43-B18F-6DBE96A31696}" xr6:coauthVersionLast="46" xr6:coauthVersionMax="47" xr10:uidLastSave="{00000000-0000-0000-0000-000000000000}"/>
  <bookViews>
    <workbookView xWindow="0" yWindow="500" windowWidth="27660" windowHeight="17500" tabRatio="578" activeTab="1" xr2:uid="{00000000-000D-0000-FFFF-FFFF00000000}"/>
  </bookViews>
  <sheets>
    <sheet name="procedure" sheetId="18" r:id="rId1"/>
    <sheet name="QUAG_1 (2)" sheetId="19" r:id="rId2"/>
    <sheet name="QUAG_1" sheetId="11" r:id="rId3"/>
    <sheet name="QUAG_2" sheetId="12" r:id="rId4"/>
    <sheet name="QUAG_3" sheetId="13" r:id="rId5"/>
    <sheet name="QUAG_4" sheetId="14" r:id="rId6"/>
    <sheet name="QUAG_5" sheetId="15" r:id="rId7"/>
    <sheet name="QUAG_6" sheetId="16" r:id="rId8"/>
    <sheet name="summary" sheetId="17" r:id="rId9"/>
    <sheet name="Protocol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12" l="1"/>
  <c r="K27" i="12"/>
  <c r="K9" i="19"/>
  <c r="K10" i="19"/>
  <c r="K11" i="19"/>
  <c r="K12" i="19"/>
  <c r="K13" i="19"/>
  <c r="K14" i="19"/>
  <c r="K15" i="19"/>
  <c r="K16" i="19"/>
  <c r="K8" i="19"/>
  <c r="L23" i="19"/>
  <c r="L22" i="19"/>
  <c r="N13" i="11"/>
  <c r="L9" i="11" l="1"/>
  <c r="L10" i="11"/>
  <c r="L11" i="11"/>
  <c r="L12" i="11"/>
  <c r="L13" i="11"/>
  <c r="L14" i="11"/>
  <c r="L15" i="11"/>
  <c r="L16" i="11"/>
  <c r="L8" i="11"/>
  <c r="N14" i="11"/>
  <c r="K22" i="11"/>
  <c r="N14" i="19" l="1"/>
  <c r="N15" i="19"/>
  <c r="N16" i="19"/>
  <c r="N13" i="19"/>
  <c r="D19" i="19"/>
  <c r="B19" i="19"/>
  <c r="D16" i="19"/>
  <c r="B16" i="19"/>
  <c r="D15" i="19"/>
  <c r="B15" i="19"/>
  <c r="D14" i="19"/>
  <c r="B14" i="19"/>
  <c r="D13" i="19"/>
  <c r="B13" i="19"/>
  <c r="D12" i="19"/>
  <c r="B12" i="19"/>
  <c r="D11" i="19"/>
  <c r="B11" i="19"/>
  <c r="D10" i="19"/>
  <c r="B10" i="19"/>
  <c r="D9" i="19"/>
  <c r="B9" i="19"/>
  <c r="D8" i="19"/>
  <c r="B8" i="19"/>
  <c r="B22" i="11"/>
  <c r="B23" i="11" s="1"/>
  <c r="N7" i="11" s="1"/>
  <c r="N17" i="15"/>
  <c r="H23" i="15"/>
  <c r="K34" i="15"/>
  <c r="K8" i="15"/>
  <c r="N9" i="15"/>
  <c r="K28" i="15"/>
  <c r="L33" i="15"/>
  <c r="K36" i="13"/>
  <c r="B22" i="19" l="1"/>
  <c r="B23" i="19" s="1"/>
  <c r="E8" i="19" s="1"/>
  <c r="D22" i="19"/>
  <c r="E8" i="11"/>
  <c r="B28" i="13"/>
  <c r="B27" i="13"/>
  <c r="E15" i="19" l="1"/>
  <c r="E16" i="19"/>
  <c r="E12" i="19"/>
  <c r="F16" i="19"/>
  <c r="G16" i="19" s="1"/>
  <c r="F12" i="19"/>
  <c r="F8" i="19"/>
  <c r="G8" i="19" s="1"/>
  <c r="F15" i="19"/>
  <c r="G15" i="19" s="1"/>
  <c r="P7" i="19"/>
  <c r="E19" i="19"/>
  <c r="E11" i="19"/>
  <c r="E13" i="19"/>
  <c r="E14" i="19"/>
  <c r="P16" i="19" s="1"/>
  <c r="E9" i="19"/>
  <c r="E10" i="19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F19" i="19" l="1"/>
  <c r="G19" i="19" s="1"/>
  <c r="F10" i="19"/>
  <c r="G10" i="19" s="1"/>
  <c r="F9" i="19"/>
  <c r="G9" i="19" s="1"/>
  <c r="F14" i="19"/>
  <c r="G14" i="19" s="1"/>
  <c r="F13" i="19"/>
  <c r="G13" i="19" s="1"/>
  <c r="P15" i="19"/>
  <c r="P19" i="19" s="1"/>
  <c r="F11" i="19"/>
  <c r="G11" i="19" s="1"/>
  <c r="P11" i="19"/>
  <c r="G12" i="19"/>
  <c r="K30" i="16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H17" i="15" l="1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J8" i="19" l="1"/>
  <c r="L8" i="19" s="1"/>
  <c r="P10" i="19"/>
  <c r="H8" i="19" s="1"/>
  <c r="J12" i="19"/>
  <c r="J16" i="19"/>
  <c r="L16" i="19" s="1"/>
  <c r="J11" i="19"/>
  <c r="L11" i="19" s="1"/>
  <c r="P8" i="19"/>
  <c r="J15" i="19"/>
  <c r="L15" i="19" s="1"/>
  <c r="L26" i="19"/>
  <c r="L27" i="19" s="1"/>
  <c r="J19" i="19"/>
  <c r="L19" i="19" s="1"/>
  <c r="J14" i="19"/>
  <c r="L14" i="19" s="1"/>
  <c r="J10" i="19"/>
  <c r="L10" i="19" s="1"/>
  <c r="J13" i="19"/>
  <c r="L13" i="19" s="1"/>
  <c r="J9" i="19"/>
  <c r="L9" i="19" s="1"/>
  <c r="N16" i="15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L12" i="19" l="1"/>
  <c r="P13" i="19" s="1"/>
  <c r="P9" i="19"/>
  <c r="H16" i="19"/>
  <c r="I16" i="19" s="1"/>
  <c r="H15" i="19"/>
  <c r="I15" i="19" s="1"/>
  <c r="H12" i="19"/>
  <c r="H19" i="19"/>
  <c r="I19" i="19" s="1"/>
  <c r="H13" i="19"/>
  <c r="I13" i="19" s="1"/>
  <c r="H10" i="19"/>
  <c r="I10" i="19" s="1"/>
  <c r="H11" i="19"/>
  <c r="I11" i="19" s="1"/>
  <c r="H14" i="19"/>
  <c r="I14" i="19" s="1"/>
  <c r="H9" i="19"/>
  <c r="I9" i="19" s="1"/>
  <c r="L28" i="19"/>
  <c r="K23" i="11"/>
  <c r="H18" i="15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P14" i="19" l="1"/>
  <c r="M14" i="19" s="1"/>
  <c r="I12" i="19"/>
  <c r="P12" i="19" s="1"/>
  <c r="P18" i="19"/>
  <c r="L24" i="19"/>
  <c r="L29" i="19"/>
  <c r="L31" i="19" s="1"/>
  <c r="L30" i="19"/>
  <c r="I8" i="19"/>
  <c r="P17" i="19"/>
  <c r="J18" i="15"/>
  <c r="K17" i="15" s="1"/>
  <c r="K18" i="15" s="1"/>
  <c r="K29" i="15"/>
  <c r="K32" i="15" s="1"/>
  <c r="K33" i="15" s="1"/>
  <c r="K29" i="12"/>
  <c r="K31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M9" i="19" l="1"/>
  <c r="M10" i="19"/>
  <c r="M16" i="19"/>
  <c r="N10" i="19"/>
  <c r="M13" i="19"/>
  <c r="M12" i="19"/>
  <c r="N12" i="19" s="1"/>
  <c r="M15" i="19"/>
  <c r="M11" i="19"/>
  <c r="N11" i="19" s="1"/>
  <c r="M8" i="19"/>
  <c r="N8" i="19" s="1"/>
  <c r="N9" i="19"/>
  <c r="K13" i="15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I2" i="17" l="1"/>
  <c r="I10" i="17" s="1"/>
  <c r="K29" i="11"/>
  <c r="K31" i="11" s="1"/>
  <c r="K30" i="11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I11" i="17" l="1"/>
  <c r="M11" i="17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<sst xmlns="http://schemas.openxmlformats.org/spreadsheetml/2006/main" count="478" uniqueCount="120">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</sst>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  <xf numFmtId="0" fontId="21" fillId="0" borderId="0" xfId="0" applyFont="1" applyFill="1" applyBorder="1"/>
    <xf numFmtId="0" fontId="20" fillId="5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2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2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'QUAG_1 (2)'!$G$8:$G$13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'QUAG_1 (2)'!$B$8:$B$13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151-2544-A876-E76141CE4FEA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'QUAG_1 (2)'!$B$13:$B$16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151-2544-A876-E76141CE4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'QUAG_1 (2)'!$D$8:$D$12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'QUAG_1 (2)'!$A$8:$A$12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6A-124F-9CAD-B0743CC3ADA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'QUAG_1 (2)'!$D$12:$D$16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'QUAG_1 (2)'!$A$12:$A$16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6A-124F-9CAD-B0743CC3A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'QUAG_1 (2)'!$B$13:$B$16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B5-9946-B780-228940241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'QUAG_1 (2)'!$L$8:$L$11</c:f>
              <c:numCache>
                <c:formatCode>0.000</c:formatCode>
                <c:ptCount val="4"/>
                <c:pt idx="0">
                  <c:v>1.6002356121316574</c:v>
                </c:pt>
                <c:pt idx="1">
                  <c:v>1.2579576322767168</c:v>
                </c:pt>
                <c:pt idx="2">
                  <c:v>0.49403915887376848</c:v>
                </c:pt>
                <c:pt idx="3">
                  <c:v>-5.7877793378704467E-3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23-B847-B08D-89A99FD78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'QUAG_1 (2)'!$L$7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'QUAG_1 (2)'!$G$8:$G$12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'QUAG_1 (2)'!$L$8:$L$12</c:f>
              <c:numCache>
                <c:formatCode>0.000</c:formatCode>
                <c:ptCount val="5"/>
                <c:pt idx="0">
                  <c:v>1.6002356121316574</c:v>
                </c:pt>
                <c:pt idx="1">
                  <c:v>1.2579576322767168</c:v>
                </c:pt>
                <c:pt idx="2">
                  <c:v>0.49403915887376848</c:v>
                </c:pt>
                <c:pt idx="3">
                  <c:v>-5.7877793378704467E-3</c:v>
                </c:pt>
                <c:pt idx="4">
                  <c:v>-4.0948868588155829E-2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FF-6A44-9418-D96AE897D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'QUAG_1 (2)'!$C$7</c:f>
              <c:strCache>
                <c:ptCount val="1"/>
                <c:pt idx="0">
                  <c:v>M(g)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'QUAG_1 (2)'!$N$8:$N$16</c:f>
              <c:numCache>
                <c:formatCode>0.000</c:formatCode>
                <c:ptCount val="9"/>
                <c:pt idx="0">
                  <c:v>-0.80684889273490246</c:v>
                </c:pt>
                <c:pt idx="1">
                  <c:v>-1.3014833426440615</c:v>
                </c:pt>
                <c:pt idx="2">
                  <c:v>-1.7669595383257493</c:v>
                </c:pt>
                <c:pt idx="3">
                  <c:v>-2.4538111788250165</c:v>
                </c:pt>
                <c:pt idx="4">
                  <c:v>-2.7510511314118444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xVal>
          <c:yVal>
            <c:numRef>
              <c:f>'QUAG_1 (2)'!$A$8:$A$16</c:f>
              <c:numCache>
                <c:formatCode>0.000</c:formatCode>
                <c:ptCount val="9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29-D545-BD14-E22511386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730992"/>
        <c:axId val="2007732640"/>
      </c:scatterChart>
      <c:valAx>
        <c:axId val="20077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2640"/>
        <c:crosses val="autoZero"/>
        <c:crossBetween val="midCat"/>
      </c:valAx>
      <c:valAx>
        <c:axId val="20077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'QUAG_1 (2)'!$G$8:$G$12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'QUAG_1 (2)'!$N$8:$N$12</c:f>
              <c:numCache>
                <c:formatCode>0.000</c:formatCode>
                <c:ptCount val="5"/>
                <c:pt idx="0">
                  <c:v>-0.80684889273490246</c:v>
                </c:pt>
                <c:pt idx="1">
                  <c:v>-1.3014833426440615</c:v>
                </c:pt>
                <c:pt idx="2">
                  <c:v>-1.7669595383257493</c:v>
                </c:pt>
                <c:pt idx="3">
                  <c:v>-2.4538111788250165</c:v>
                </c:pt>
                <c:pt idx="4">
                  <c:v>-2.7510511314118444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D9-3846-B2B0-FB910A0E2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9647888"/>
        <c:axId val="1629649536"/>
      </c:scatterChart>
      <c:valAx>
        <c:axId val="162964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649536"/>
        <c:crosses val="autoZero"/>
        <c:crossBetween val="midCat"/>
      </c:valAx>
      <c:valAx>
        <c:axId val="162964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64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'QUAG_1 (2)'!$K$8:$K$16</c:f>
              <c:numCache>
                <c:formatCode>0.000</c:formatCode>
                <c:ptCount val="9"/>
                <c:pt idx="0">
                  <c:v>-2.252235612131658</c:v>
                </c:pt>
                <c:pt idx="1">
                  <c:v>-2.3529576322767172</c:v>
                </c:pt>
                <c:pt idx="2">
                  <c:v>-2.459039158873769</c:v>
                </c:pt>
                <c:pt idx="3">
                  <c:v>-2.6452122206621298</c:v>
                </c:pt>
                <c:pt idx="4">
                  <c:v>-2.7510511314118444</c:v>
                </c:pt>
                <c:pt idx="5">
                  <c:v>-2.8942049553420248</c:v>
                </c:pt>
                <c:pt idx="6">
                  <c:v>-3.2557298343410244</c:v>
                </c:pt>
                <c:pt idx="7">
                  <c:v>-3.4383987955683208</c:v>
                </c:pt>
                <c:pt idx="8">
                  <c:v>-3.8169744713674598</c:v>
                </c:pt>
              </c:numCache>
            </c:numRef>
          </c:xVal>
          <c:yVal>
            <c:numRef>
              <c:f>'QUAG_1 (2)'!$L$8:$L$16</c:f>
              <c:numCache>
                <c:formatCode>0.000</c:formatCode>
                <c:ptCount val="9"/>
                <c:pt idx="0">
                  <c:v>1.6002356121316574</c:v>
                </c:pt>
                <c:pt idx="1">
                  <c:v>1.2579576322767168</c:v>
                </c:pt>
                <c:pt idx="2">
                  <c:v>0.49403915887376848</c:v>
                </c:pt>
                <c:pt idx="3">
                  <c:v>-5.7877793378704467E-3</c:v>
                </c:pt>
                <c:pt idx="4">
                  <c:v>-4.0948868588155829E-2</c:v>
                </c:pt>
                <c:pt idx="5">
                  <c:v>3.6204955342023837E-2</c:v>
                </c:pt>
                <c:pt idx="6">
                  <c:v>-4.1270165658976676E-2</c:v>
                </c:pt>
                <c:pt idx="7">
                  <c:v>0.13039879556832012</c:v>
                </c:pt>
                <c:pt idx="8">
                  <c:v>-8.7025528632540983E-2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FA-0D43-AF9B-ADFB63ACE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726080"/>
        <c:axId val="1690220160"/>
      </c:scatterChart>
      <c:valAx>
        <c:axId val="1258726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0220160"/>
        <c:crosses val="autoZero"/>
        <c:crossBetween val="midCat"/>
      </c:valAx>
      <c:valAx>
        <c:axId val="169022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726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QUAG_1!$C$7</c:f>
              <c:strCache>
                <c:ptCount val="1"/>
                <c:pt idx="0">
                  <c:v>M(g)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QUAG_1!$C$8:$C$16</c:f>
              <c:numCache>
                <c:formatCode>General</c:formatCode>
                <c:ptCount val="9"/>
                <c:pt idx="0">
                  <c:v>1.69065</c:v>
                </c:pt>
                <c:pt idx="1">
                  <c:v>1.6804699999999999</c:v>
                </c:pt>
                <c:pt idx="2">
                  <c:v>1.67065</c:v>
                </c:pt>
                <c:pt idx="3" formatCode="0.0000">
                  <c:v>1.6553199999999999</c:v>
                </c:pt>
                <c:pt idx="4">
                  <c:v>1.6475299999999999</c:v>
                </c:pt>
                <c:pt idx="5">
                  <c:v>1.6378999999999999</c:v>
                </c:pt>
                <c:pt idx="6">
                  <c:v>1.6173500000000001</c:v>
                </c:pt>
                <c:pt idx="7" formatCode="0.0000">
                  <c:v>1.6086100000000001</c:v>
                </c:pt>
                <c:pt idx="8">
                  <c:v>1.5931599999999999</c:v>
                </c:pt>
              </c:numCache>
            </c:numRef>
          </c:xVal>
          <c:yVal>
            <c:numRef>
              <c:f>QUAG_1!$A$8:$A$16</c:f>
              <c:numCache>
                <c:formatCode>0.000</c:formatCode>
                <c:ptCount val="9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AC-2A4E-8F35-B0765AC27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730992"/>
        <c:axId val="2007732640"/>
      </c:scatterChart>
      <c:valAx>
        <c:axId val="20077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2640"/>
        <c:crosses val="autoZero"/>
        <c:crossBetween val="midCat"/>
      </c:valAx>
      <c:valAx>
        <c:axId val="20077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13</xdr:col>
      <xdr:colOff>76717</xdr:colOff>
      <xdr:row>40</xdr:row>
      <xdr:rowOff>110802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45E2D5FE-9E7A-3C43-AECD-2782097324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DB872D-7721-A340-AC5F-7B1F88A5CF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3089470</xdr:colOff>
      <xdr:row>30</xdr:row>
      <xdr:rowOff>60391</xdr:rowOff>
    </xdr:from>
    <xdr:to>
      <xdr:col>23</xdr:col>
      <xdr:colOff>199572</xdr:colOff>
      <xdr:row>44</xdr:row>
      <xdr:rowOff>149549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FC64B7-191C-5742-A184-7E75DA7207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3174999</xdr:colOff>
      <xdr:row>31</xdr:row>
      <xdr:rowOff>122594</xdr:rowOff>
    </xdr:from>
    <xdr:to>
      <xdr:col>22</xdr:col>
      <xdr:colOff>624631</xdr:colOff>
      <xdr:row>46</xdr:row>
      <xdr:rowOff>66611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6C609F-FCBE-AA46-A3ED-D8245AA74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923341</xdr:colOff>
      <xdr:row>41</xdr:row>
      <xdr:rowOff>16653</xdr:rowOff>
    </xdr:from>
    <xdr:to>
      <xdr:col>19</xdr:col>
      <xdr:colOff>321386</xdr:colOff>
      <xdr:row>55</xdr:row>
      <xdr:rowOff>38424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76E7BE-C891-5840-A8BA-856A954332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117929</xdr:colOff>
      <xdr:row>24</xdr:row>
      <xdr:rowOff>73349</xdr:rowOff>
    </xdr:from>
    <xdr:to>
      <xdr:col>16</xdr:col>
      <xdr:colOff>1501969</xdr:colOff>
      <xdr:row>38</xdr:row>
      <xdr:rowOff>95121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7612880-5D71-854C-9206-5F25D966D8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565020</xdr:colOff>
      <xdr:row>29</xdr:row>
      <xdr:rowOff>27992</xdr:rowOff>
    </xdr:from>
    <xdr:to>
      <xdr:col>15</xdr:col>
      <xdr:colOff>393959</xdr:colOff>
      <xdr:row>43</xdr:row>
      <xdr:rowOff>49763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BDF6D8-15B9-904A-89A8-B97CC54126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357673</xdr:colOff>
      <xdr:row>22</xdr:row>
      <xdr:rowOff>170543</xdr:rowOff>
    </xdr:from>
    <xdr:to>
      <xdr:col>9</xdr:col>
      <xdr:colOff>886408</xdr:colOff>
      <xdr:row>36</xdr:row>
      <xdr:rowOff>179355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DAD2E9B-47AF-8F4F-AAA6-783C5B1832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11</xdr:col>
      <xdr:colOff>76717</xdr:colOff>
      <xdr:row>40</xdr:row>
      <xdr:rowOff>110802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3089470</xdr:colOff>
      <xdr:row>30</xdr:row>
      <xdr:rowOff>60391</xdr:rowOff>
    </xdr:from>
    <xdr:to>
      <xdr:col>21</xdr:col>
      <xdr:colOff>199572</xdr:colOff>
      <xdr:row>44</xdr:row>
      <xdr:rowOff>149549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3174999</xdr:colOff>
      <xdr:row>31</xdr:row>
      <xdr:rowOff>122594</xdr:rowOff>
    </xdr:from>
    <xdr:to>
      <xdr:col>20</xdr:col>
      <xdr:colOff>624631</xdr:colOff>
      <xdr:row>46</xdr:row>
      <xdr:rowOff>66611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923341</xdr:colOff>
      <xdr:row>41</xdr:row>
      <xdr:rowOff>16653</xdr:rowOff>
    </xdr:from>
    <xdr:to>
      <xdr:col>17</xdr:col>
      <xdr:colOff>321386</xdr:colOff>
      <xdr:row>55</xdr:row>
      <xdr:rowOff>38424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27215</xdr:colOff>
      <xdr:row>24</xdr:row>
      <xdr:rowOff>138145</xdr:rowOff>
    </xdr:from>
    <xdr:to>
      <xdr:col>13</xdr:col>
      <xdr:colOff>841052</xdr:colOff>
      <xdr:row>38</xdr:row>
      <xdr:rowOff>159917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2D5C46-49E6-8648-9415-DFA7590C5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7" sqref="A7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CBBE3-EBF7-C64E-8862-24CBACB2EB85}">
  <dimension ref="A1:X31"/>
  <sheetViews>
    <sheetView tabSelected="1" topLeftCell="A4" zoomScale="98" zoomScaleNormal="98" workbookViewId="0">
      <selection activeCell="L8" sqref="L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1" width="11.6640625" customWidth="1"/>
    <col min="12" max="13" width="11.1640625" customWidth="1"/>
    <col min="14" max="14" width="7.1640625" bestFit="1" customWidth="1"/>
    <col min="15" max="15" width="21" customWidth="1"/>
    <col min="16" max="16" width="16" customWidth="1"/>
    <col min="17" max="17" width="59.6640625" customWidth="1"/>
    <col min="18" max="18" width="7.5" customWidth="1"/>
    <col min="19" max="20" width="7.5" bestFit="1" customWidth="1"/>
    <col min="21" max="21" width="7" customWidth="1"/>
    <col min="22" max="22" width="8" customWidth="1"/>
    <col min="23" max="23" width="8.33203125" bestFit="1" customWidth="1"/>
  </cols>
  <sheetData>
    <row r="1" spans="1:24" x14ac:dyDescent="0.2">
      <c r="Q1" s="18"/>
    </row>
    <row r="2" spans="1:24" x14ac:dyDescent="0.2">
      <c r="A2" s="1" t="s">
        <v>45</v>
      </c>
      <c r="B2" s="2"/>
      <c r="C2" s="4"/>
      <c r="Q2" s="18"/>
    </row>
    <row r="3" spans="1:24" x14ac:dyDescent="0.2">
      <c r="A3" s="3" t="s">
        <v>49</v>
      </c>
      <c r="B3" s="40">
        <v>1.3028</v>
      </c>
      <c r="C3" s="3"/>
      <c r="D3" t="s">
        <v>35</v>
      </c>
      <c r="E3" s="40"/>
    </row>
    <row r="4" spans="1:24" x14ac:dyDescent="0.2">
      <c r="A4" s="3" t="s">
        <v>46</v>
      </c>
      <c r="B4" s="40">
        <v>0.20097999999999999</v>
      </c>
      <c r="C4" s="3"/>
    </row>
    <row r="5" spans="1:24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K5" s="44"/>
      <c r="Q5" s="12"/>
      <c r="R5" s="13"/>
    </row>
    <row r="6" spans="1:24" x14ac:dyDescent="0.2">
      <c r="A6" s="3"/>
      <c r="B6" s="6"/>
      <c r="C6" s="3"/>
      <c r="D6" s="6"/>
      <c r="E6" s="3"/>
      <c r="F6" s="3"/>
      <c r="G6" s="8"/>
      <c r="H6" s="8"/>
      <c r="I6" s="8"/>
      <c r="J6" s="8"/>
      <c r="K6" s="8"/>
      <c r="N6" s="3"/>
      <c r="R6" s="16"/>
    </row>
    <row r="7" spans="1:24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/>
      <c r="L7" s="56" t="s">
        <v>44</v>
      </c>
      <c r="M7" s="107"/>
      <c r="O7" s="64" t="s">
        <v>2</v>
      </c>
      <c r="P7" s="65">
        <f>B23/B4</f>
        <v>1.010563295003186</v>
      </c>
      <c r="Q7" t="s">
        <v>7</v>
      </c>
      <c r="S7" s="3"/>
    </row>
    <row r="8" spans="1:24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:F16" si="1">100*E8</f>
        <v>92.00749858535417</v>
      </c>
      <c r="G8" s="9">
        <f t="shared" ref="G8:G16" si="2">100-F8</f>
        <v>7.9925014146458295</v>
      </c>
      <c r="H8" s="6">
        <f>(E8-P$10/100)/(1-P$10/100)</f>
        <v>0.93610233960373568</v>
      </c>
      <c r="I8" s="9">
        <f>H8*100</f>
        <v>93.610233960373563</v>
      </c>
      <c r="J8" s="10">
        <f>-1/($L$23+$L$22*G8)</f>
        <v>-2.2522356121316576</v>
      </c>
      <c r="K8" s="10">
        <f>(P$9*H$12)/H8</f>
        <v>-2.252235612131658</v>
      </c>
      <c r="L8" s="10">
        <f>A8-J8</f>
        <v>1.6002356121316574</v>
      </c>
      <c r="M8" s="10">
        <f>-H$12*P$9*((H8-H$12)/(1-H$12))^((P$14*(1-H$12))/(-H$12*P$9))</f>
        <v>1.4453867193967556</v>
      </c>
      <c r="N8" s="10">
        <f>K8+M8</f>
        <v>-0.80684889273490246</v>
      </c>
      <c r="O8" s="62" t="s">
        <v>52</v>
      </c>
      <c r="P8" s="66">
        <f>-1/L23</f>
        <v>-2.1083230258552965</v>
      </c>
      <c r="Q8" t="s">
        <v>8</v>
      </c>
      <c r="S8" s="3"/>
    </row>
    <row r="9" spans="1:24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si="1"/>
        <v>86.995263686232249</v>
      </c>
      <c r="G9" s="9">
        <f t="shared" si="2"/>
        <v>13.004736313767751</v>
      </c>
      <c r="H9" s="6">
        <f>(E9-P$10/100)/(1-P$10/100)</f>
        <v>0.89603101940058638</v>
      </c>
      <c r="I9" s="9">
        <f>H9*100</f>
        <v>89.603101940058636</v>
      </c>
      <c r="J9" s="10">
        <f>-1/($L$23+$L$22*G9)</f>
        <v>-2.3529576322767167</v>
      </c>
      <c r="K9" s="10">
        <f t="shared" ref="K9:K16" si="3">(P$9*H$12)/H9</f>
        <v>-2.3529576322767172</v>
      </c>
      <c r="L9" s="10">
        <f t="shared" ref="L9:L16" si="4">A9-J9</f>
        <v>1.2579576322767168</v>
      </c>
      <c r="M9" s="10">
        <f>-H$12*P$9*((H9-H$12)/(1-H$12))^((P$14*(1-H$12))/(-H$12*P$9))</f>
        <v>1.0514742896326557</v>
      </c>
      <c r="N9" s="10">
        <f>K9+M9</f>
        <v>-1.3014833426440615</v>
      </c>
      <c r="O9" s="67" t="s">
        <v>47</v>
      </c>
      <c r="P9" s="68">
        <f>J12</f>
        <v>-2.751051131411844</v>
      </c>
      <c r="Q9" t="s">
        <v>67</v>
      </c>
      <c r="S9" s="3"/>
    </row>
    <row r="10" spans="1:24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:D16" si="5">C10-$B$3-$B$4</f>
        <v>0.16687000000000002</v>
      </c>
      <c r="E10" s="6">
        <f t="shared" ref="E10:E16" si="6">(D10/$B$23)</f>
        <v>0.8216027874425027</v>
      </c>
      <c r="F10" s="9">
        <f t="shared" si="1"/>
        <v>82.160278744250263</v>
      </c>
      <c r="G10" s="9">
        <f t="shared" si="2"/>
        <v>17.839721255749737</v>
      </c>
      <c r="H10" s="6">
        <f t="shared" ref="H10:H16" si="7">(E10-P$10/100)/(1-P$10/100)</f>
        <v>0.85737675963684179</v>
      </c>
      <c r="I10" s="9">
        <f t="shared" ref="I10:I16" si="8">H10*100</f>
        <v>85.737675963684183</v>
      </c>
      <c r="J10" s="10">
        <f t="shared" ref="J10:J16" si="9">-1/($L$23+$L$22*G10)</f>
        <v>-2.4590391588737686</v>
      </c>
      <c r="K10" s="10">
        <f t="shared" si="3"/>
        <v>-2.459039158873769</v>
      </c>
      <c r="L10" s="10">
        <f t="shared" si="4"/>
        <v>0.49403915887376848</v>
      </c>
      <c r="M10" s="10">
        <f t="shared" ref="M10:M16" si="10">-H$12*P$9*((H10-H$12)/(1-H$12))^((P$14*(1-H$12))/(-H$12*P$9))</f>
        <v>0.69207962054801975</v>
      </c>
      <c r="N10" s="10">
        <f t="shared" ref="N10:N12" si="11">K10+M10</f>
        <v>-1.7669595383257493</v>
      </c>
      <c r="O10" s="62" t="s">
        <v>82</v>
      </c>
      <c r="P10" s="63">
        <f>100+(L23/L22)</f>
        <v>-25.082849122799786</v>
      </c>
      <c r="Q10" t="s">
        <v>8</v>
      </c>
      <c r="S10" s="3"/>
    </row>
    <row r="11" spans="1:24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si="5"/>
        <v>0.15153999999999995</v>
      </c>
      <c r="E11" s="27">
        <f t="shared" si="6"/>
        <v>0.74612384736044113</v>
      </c>
      <c r="F11" s="28">
        <f t="shared" si="1"/>
        <v>74.612384736044106</v>
      </c>
      <c r="G11" s="28">
        <f t="shared" si="2"/>
        <v>25.387615263955894</v>
      </c>
      <c r="H11" s="27">
        <f t="shared" si="7"/>
        <v>0.79703360259221745</v>
      </c>
      <c r="I11" s="28">
        <f t="shared" si="8"/>
        <v>79.703360259221739</v>
      </c>
      <c r="J11" s="29">
        <f t="shared" si="9"/>
        <v>-2.6452122206621294</v>
      </c>
      <c r="K11" s="10">
        <f t="shared" si="3"/>
        <v>-2.6452122206621298</v>
      </c>
      <c r="L11" s="29">
        <f t="shared" si="4"/>
        <v>-5.7877793378704467E-3</v>
      </c>
      <c r="M11" s="10">
        <f t="shared" si="10"/>
        <v>0.19140104183711332</v>
      </c>
      <c r="N11" s="10">
        <f t="shared" si="11"/>
        <v>-2.4538111788250165</v>
      </c>
      <c r="O11" s="81" t="s">
        <v>84</v>
      </c>
      <c r="P11" s="69">
        <f>F12</f>
        <v>70.776892607934158</v>
      </c>
      <c r="Q11" t="s">
        <v>57</v>
      </c>
      <c r="S11" s="6"/>
    </row>
    <row r="12" spans="1:24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5"/>
        <v>0.14374999999999999</v>
      </c>
      <c r="E12" s="6">
        <f t="shared" si="6"/>
        <v>0.70776892607934161</v>
      </c>
      <c r="F12" s="9">
        <f t="shared" si="1"/>
        <v>70.776892607934158</v>
      </c>
      <c r="G12" s="9">
        <f t="shared" si="2"/>
        <v>29.223107392065842</v>
      </c>
      <c r="H12" s="6">
        <f t="shared" si="7"/>
        <v>0.76636998919511246</v>
      </c>
      <c r="I12" s="9">
        <f t="shared" si="8"/>
        <v>76.636998919511242</v>
      </c>
      <c r="J12" s="10">
        <f>-1/($L$23+$L$22*G12)</f>
        <v>-2.751051131411844</v>
      </c>
      <c r="K12" s="10">
        <f t="shared" si="3"/>
        <v>-2.7510511314118444</v>
      </c>
      <c r="L12" s="10">
        <f t="shared" si="4"/>
        <v>-4.0948868588155829E-2</v>
      </c>
      <c r="M12" s="10">
        <f t="shared" si="10"/>
        <v>0</v>
      </c>
      <c r="N12" s="10">
        <f t="shared" si="11"/>
        <v>-2.7510511314118444</v>
      </c>
      <c r="O12" s="70" t="s">
        <v>85</v>
      </c>
      <c r="P12" s="71">
        <f>I12</f>
        <v>76.636998919511242</v>
      </c>
      <c r="Q12" t="s">
        <v>66</v>
      </c>
      <c r="S12" s="3"/>
    </row>
    <row r="13" spans="1:24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5"/>
        <v>0.13411999999999996</v>
      </c>
      <c r="E13" s="6">
        <f t="shared" si="6"/>
        <v>0.66035456254442626</v>
      </c>
      <c r="F13" s="9">
        <f t="shared" si="1"/>
        <v>66.035456254442622</v>
      </c>
      <c r="G13" s="9">
        <f t="shared" si="2"/>
        <v>33.964543745557378</v>
      </c>
      <c r="H13" s="6">
        <f t="shared" si="7"/>
        <v>0.72846362244105289</v>
      </c>
      <c r="I13" s="9">
        <f t="shared" si="8"/>
        <v>72.846362244105293</v>
      </c>
      <c r="J13" s="10">
        <f t="shared" si="9"/>
        <v>-2.8942049553420239</v>
      </c>
      <c r="K13" s="10">
        <f t="shared" si="3"/>
        <v>-2.8942049553420248</v>
      </c>
      <c r="L13" s="10">
        <f t="shared" si="4"/>
        <v>3.6204955342023837E-2</v>
      </c>
      <c r="M13" s="10" t="e">
        <f t="shared" si="10"/>
        <v>#NUM!</v>
      </c>
      <c r="N13" s="10">
        <f>A13</f>
        <v>-2.8580000000000001</v>
      </c>
      <c r="O13" s="87" t="s">
        <v>83</v>
      </c>
      <c r="P13" s="73">
        <f>STDEV(L8:L12)/STDEV(E8:E12)</f>
        <v>8.5241983512899484</v>
      </c>
      <c r="Q13" t="s">
        <v>58</v>
      </c>
      <c r="S13" s="3"/>
    </row>
    <row r="14" spans="1:24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5"/>
        <v>0.11357000000000012</v>
      </c>
      <c r="E14" s="6">
        <f t="shared" si="6"/>
        <v>0.55917437867708464</v>
      </c>
      <c r="F14" s="9">
        <f t="shared" si="1"/>
        <v>55.917437867708465</v>
      </c>
      <c r="G14" s="9">
        <f t="shared" si="2"/>
        <v>44.082562132291535</v>
      </c>
      <c r="H14" s="6">
        <f t="shared" si="7"/>
        <v>0.64757308902507016</v>
      </c>
      <c r="I14" s="9">
        <f t="shared" si="8"/>
        <v>64.75730890250702</v>
      </c>
      <c r="J14" s="10">
        <f t="shared" si="9"/>
        <v>-3.2557298343410235</v>
      </c>
      <c r="K14" s="10">
        <f t="shared" si="3"/>
        <v>-3.2557298343410244</v>
      </c>
      <c r="L14" s="10">
        <f t="shared" si="4"/>
        <v>-4.1270165658976676E-2</v>
      </c>
      <c r="M14" s="10" t="e">
        <f t="shared" si="10"/>
        <v>#NUM!</v>
      </c>
      <c r="N14" s="10">
        <f t="shared" ref="N14:N16" si="12">A14</f>
        <v>-3.2970000000000002</v>
      </c>
      <c r="O14" s="88" t="s">
        <v>1</v>
      </c>
      <c r="P14" s="75">
        <f>STDEV(L8:L12)/STDEV(H8:H12)</f>
        <v>10.662310162672195</v>
      </c>
      <c r="Q14" t="s">
        <v>65</v>
      </c>
    </row>
    <row r="15" spans="1:24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5"/>
        <v>0.10483000000000015</v>
      </c>
      <c r="E15" s="6">
        <f t="shared" si="6"/>
        <v>0.5161420279714608</v>
      </c>
      <c r="F15" s="9">
        <f t="shared" si="1"/>
        <v>51.614202797146078</v>
      </c>
      <c r="G15" s="9">
        <f t="shared" si="2"/>
        <v>48.385797202853922</v>
      </c>
      <c r="H15" s="6">
        <f t="shared" si="7"/>
        <v>0.61317001057953768</v>
      </c>
      <c r="I15" s="9">
        <f t="shared" si="8"/>
        <v>61.317001057953767</v>
      </c>
      <c r="J15" s="10">
        <f t="shared" si="9"/>
        <v>-3.43839879556832</v>
      </c>
      <c r="K15" s="10">
        <f t="shared" si="3"/>
        <v>-3.4383987955683208</v>
      </c>
      <c r="L15" s="10">
        <f t="shared" si="4"/>
        <v>0.13039879556832012</v>
      </c>
      <c r="M15" s="10" t="e">
        <f t="shared" si="10"/>
        <v>#NUM!</v>
      </c>
      <c r="N15" s="10">
        <f t="shared" si="12"/>
        <v>-3.3079999999999998</v>
      </c>
      <c r="O15" s="76" t="s">
        <v>86</v>
      </c>
      <c r="P15" s="77">
        <f>STDEV(E8:E12)/STDEV(A8:A12)</f>
        <v>9.2486960621867662E-2</v>
      </c>
      <c r="Q15" t="s">
        <v>59</v>
      </c>
      <c r="S15" s="3"/>
    </row>
    <row r="16" spans="1:24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5"/>
        <v>8.9379999999999959E-2</v>
      </c>
      <c r="E16" s="6">
        <f t="shared" si="6"/>
        <v>0.44007225469893241</v>
      </c>
      <c r="F16" s="9">
        <f t="shared" si="1"/>
        <v>44.007225469893243</v>
      </c>
      <c r="G16" s="9">
        <f t="shared" si="2"/>
        <v>55.992774530106757</v>
      </c>
      <c r="H16" s="6">
        <f t="shared" si="7"/>
        <v>0.55235450005511155</v>
      </c>
      <c r="I16" s="9">
        <f t="shared" si="8"/>
        <v>55.235450005511154</v>
      </c>
      <c r="J16" s="10">
        <f t="shared" si="9"/>
        <v>-3.8169744713674589</v>
      </c>
      <c r="K16" s="10">
        <f t="shared" si="3"/>
        <v>-3.8169744713674598</v>
      </c>
      <c r="L16" s="10">
        <f t="shared" si="4"/>
        <v>-8.7025528632540983E-2</v>
      </c>
      <c r="M16" s="10" t="e">
        <f t="shared" si="10"/>
        <v>#NUM!</v>
      </c>
      <c r="N16" s="10">
        <f t="shared" si="12"/>
        <v>-3.9039999999999999</v>
      </c>
      <c r="O16" s="70" t="s">
        <v>87</v>
      </c>
      <c r="P16" s="78">
        <f>STDEV(E12:E16)/STDEV(A12:A16)</f>
        <v>0.24266633412887775</v>
      </c>
      <c r="Q16" t="s">
        <v>60</v>
      </c>
      <c r="S16" s="3"/>
      <c r="T16" s="3"/>
      <c r="U16" s="3"/>
      <c r="V16" s="3"/>
      <c r="W16" s="3"/>
      <c r="X16" s="3"/>
    </row>
    <row r="17" spans="1:22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L17" s="10"/>
      <c r="M17" s="10"/>
      <c r="O17" s="70" t="s">
        <v>53</v>
      </c>
      <c r="P17" s="78">
        <f>STDEV(H8:H12)/STDEV(A8:A12)</f>
        <v>7.394056121240794E-2</v>
      </c>
      <c r="Q17" t="s">
        <v>62</v>
      </c>
    </row>
    <row r="18" spans="1:22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L18" s="10"/>
      <c r="M18" s="10"/>
      <c r="O18" s="79" t="s">
        <v>0</v>
      </c>
      <c r="P18" s="80">
        <f>STDEV(H12:H16)/STDEV(A12:A16)</f>
        <v>0.19400448249355007</v>
      </c>
      <c r="Q18" t="s">
        <v>63</v>
      </c>
    </row>
    <row r="19" spans="1:22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3">C19-$B$3-$B$4</f>
        <v>0.2181300000000001</v>
      </c>
      <c r="E19" s="6">
        <f>(D19/$B$23)</f>
        <v>1.0739870319699956</v>
      </c>
      <c r="F19" s="9">
        <f t="shared" ref="F19" si="14">100*E19</f>
        <v>107.39870319699956</v>
      </c>
      <c r="G19" s="9">
        <f t="shared" ref="G19" si="15">100-F19</f>
        <v>-7.3987031969995627</v>
      </c>
      <c r="H19" s="6">
        <f t="shared" ref="H19" si="16">(E19-P$10/100)/(1-P$10/100)</f>
        <v>1.0591504210919909</v>
      </c>
      <c r="I19" s="9">
        <f t="shared" ref="I19" si="17">H19*100</f>
        <v>105.91504210919909</v>
      </c>
      <c r="J19" s="10">
        <f>-1/($L$23+$L$22*G19)</f>
        <v>-1.9905794152275387</v>
      </c>
      <c r="K19" s="10"/>
      <c r="L19" s="10">
        <f t="shared" ref="L19" si="18">A19-J19</f>
        <v>1.6905794152275386</v>
      </c>
      <c r="M19" s="10"/>
      <c r="O19" s="60" t="s">
        <v>88</v>
      </c>
      <c r="P19" s="54" t="e">
        <f>P15*B23/18/(E3/10000)</f>
        <v>#DIV/0!</v>
      </c>
    </row>
    <row r="20" spans="1:22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L20" s="10"/>
      <c r="M20" s="10"/>
      <c r="O20" s="19"/>
      <c r="P20" s="20"/>
      <c r="T20" s="11"/>
      <c r="U20" s="10"/>
      <c r="V20" s="10"/>
    </row>
    <row r="21" spans="1:22" x14ac:dyDescent="0.2">
      <c r="A21" s="14" t="s">
        <v>4</v>
      </c>
      <c r="B21" s="14"/>
      <c r="C21" s="24"/>
      <c r="D21" s="15"/>
      <c r="J21" s="48" t="s">
        <v>30</v>
      </c>
      <c r="K21" s="106"/>
      <c r="U21" s="10"/>
      <c r="V21" s="10"/>
    </row>
    <row r="22" spans="1:22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9"/>
      <c r="L22" s="41">
        <f>-STDEV(B11:B16)/STDEV(G11:G16)</f>
        <v>-3.7919716618975436E-3</v>
      </c>
      <c r="M22" s="41"/>
    </row>
    <row r="23" spans="1:22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9"/>
      <c r="L23" s="42">
        <f>AVERAGE(B11:B16)-L22*AVERAGE(G11:G16)</f>
        <v>0.47431061926306278</v>
      </c>
      <c r="M23" s="42"/>
      <c r="N23" s="31"/>
    </row>
    <row r="24" spans="1:22" x14ac:dyDescent="0.2">
      <c r="J24" s="5" t="s">
        <v>48</v>
      </c>
      <c r="K24" s="5"/>
      <c r="L24" s="61">
        <f>COUNT(H12:H16)</f>
        <v>5</v>
      </c>
      <c r="M24" s="61"/>
    </row>
    <row r="26" spans="1:22" x14ac:dyDescent="0.2">
      <c r="J26" s="103" t="s">
        <v>107</v>
      </c>
      <c r="K26" s="103"/>
      <c r="L26" s="103">
        <f>-1/L23</f>
        <v>-2.1083230258552965</v>
      </c>
      <c r="M26" s="103"/>
      <c r="U26" s="16"/>
      <c r="V26" s="16"/>
    </row>
    <row r="27" spans="1:22" x14ac:dyDescent="0.2">
      <c r="J27" s="103" t="s">
        <v>108</v>
      </c>
      <c r="K27" s="103"/>
      <c r="L27" s="103">
        <f>-L26</f>
        <v>2.1083230258552965</v>
      </c>
      <c r="M27" s="103"/>
    </row>
    <row r="28" spans="1:22" x14ac:dyDescent="0.2">
      <c r="J28" s="103" t="s">
        <v>117</v>
      </c>
      <c r="K28" s="103"/>
      <c r="L28" s="103">
        <f>-(INTERCEPT(L8:L11,G8:G11)/(SLOPE(L8:L11,G8:G11)))</f>
        <v>24.708205665833965</v>
      </c>
      <c r="M28" s="103"/>
    </row>
    <row r="29" spans="1:22" x14ac:dyDescent="0.2">
      <c r="J29" s="103" t="s">
        <v>111</v>
      </c>
      <c r="K29" s="103"/>
      <c r="L29" s="103">
        <f>100-L28</f>
        <v>75.291794334166042</v>
      </c>
      <c r="M29" s="103"/>
    </row>
    <row r="30" spans="1:22" x14ac:dyDescent="0.2">
      <c r="J30" s="103" t="s">
        <v>112</v>
      </c>
      <c r="K30" s="103"/>
      <c r="L30" s="103">
        <f>-1/(L22*(L28)+L23)</f>
        <v>-2.627307473906463</v>
      </c>
      <c r="M30" s="103"/>
    </row>
    <row r="31" spans="1:22" x14ac:dyDescent="0.2">
      <c r="J31" s="103" t="s">
        <v>113</v>
      </c>
      <c r="K31" s="103"/>
      <c r="L31" s="103">
        <f>L27/((100-L29)/100)</f>
        <v>8.5328860151534442</v>
      </c>
      <c r="M31" s="103"/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zoomScale="98" zoomScaleNormal="98" workbookViewId="0">
      <selection activeCell="F13" sqref="F13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6.332031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L8" s="10">
        <f>J8+K8</f>
        <v>-0.65200000000000014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L9" s="10">
        <f t="shared" ref="L9:L16" si="6">J9+K9</f>
        <v>-1.095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7">C10-$B$3-$B$4</f>
        <v>0.16687000000000002</v>
      </c>
      <c r="E10" s="6">
        <f t="shared" ref="E10" si="8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9">(E10-N$10/100)/(1-N$10/100)</f>
        <v>0.849263204905084</v>
      </c>
      <c r="I10" s="9">
        <f t="shared" ref="I10" si="10">H10*100</f>
        <v>84.926320490508402</v>
      </c>
      <c r="J10" s="10">
        <f t="shared" ref="J10" si="11">-1/($K$23+$K$22*G10)</f>
        <v>-2.3892887944870718</v>
      </c>
      <c r="K10" s="10">
        <f t="shared" si="5"/>
        <v>0.42428879448707169</v>
      </c>
      <c r="L10" s="10">
        <f t="shared" si="6"/>
        <v>-1.9650000000000001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2">C11-$B$3-$B$4</f>
        <v>0.15153999999999995</v>
      </c>
      <c r="E11" s="27">
        <f t="shared" ref="E11:E16" si="13">(D11/$B$23)</f>
        <v>0.74612384736044113</v>
      </c>
      <c r="F11" s="28">
        <f t="shared" ref="F11:F16" si="14">100*E11</f>
        <v>74.612384736044106</v>
      </c>
      <c r="G11" s="28">
        <f t="shared" ref="G11:G16" si="15">100-F11</f>
        <v>25.387615263955894</v>
      </c>
      <c r="H11" s="27">
        <f t="shared" ref="H11:H16" si="16">(E11-N$10/100)/(1-N$10/100)</f>
        <v>0.78548724472036868</v>
      </c>
      <c r="I11" s="28">
        <f t="shared" ref="I11:I16" si="17">H11*100</f>
        <v>78.548724472036866</v>
      </c>
      <c r="J11" s="29">
        <f t="shared" ref="J11:J16" si="18">-1/($K$23+$K$22*G11)</f>
        <v>-2.5832819981338613</v>
      </c>
      <c r="K11" s="29">
        <f t="shared" ref="K11:K16" si="19">A11-J11</f>
        <v>-6.7718001866138522E-2</v>
      </c>
      <c r="L11" s="10">
        <f t="shared" si="6"/>
        <v>-2.6509999999999998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2"/>
        <v>0.14374999999999999</v>
      </c>
      <c r="E12" s="6">
        <f t="shared" si="13"/>
        <v>0.70776892607934161</v>
      </c>
      <c r="F12" s="9">
        <f t="shared" si="14"/>
        <v>70.776892607934158</v>
      </c>
      <c r="G12" s="9">
        <f t="shared" si="15"/>
        <v>29.223107392065842</v>
      </c>
      <c r="H12" s="6">
        <f t="shared" si="16"/>
        <v>0.75307923886003403</v>
      </c>
      <c r="I12" s="9">
        <f t="shared" si="17"/>
        <v>75.307923886003408</v>
      </c>
      <c r="J12" s="10">
        <f t="shared" si="18"/>
        <v>-2.6944509347004142</v>
      </c>
      <c r="K12" s="10">
        <f t="shared" si="19"/>
        <v>-9.7549065299585624E-2</v>
      </c>
      <c r="L12" s="10">
        <f t="shared" si="6"/>
        <v>-2.7919999999999998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2"/>
        <v>0.13411999999999996</v>
      </c>
      <c r="E13" s="6">
        <f t="shared" si="13"/>
        <v>0.66035456254442626</v>
      </c>
      <c r="F13" s="9">
        <f t="shared" si="14"/>
        <v>66.035456254442622</v>
      </c>
      <c r="G13" s="9">
        <f t="shared" si="15"/>
        <v>33.964543745557378</v>
      </c>
      <c r="H13" s="6">
        <f t="shared" si="16"/>
        <v>0.71301645369507582</v>
      </c>
      <c r="I13" s="9">
        <f t="shared" si="17"/>
        <v>71.301645369507582</v>
      </c>
      <c r="J13" s="10">
        <f t="shared" si="18"/>
        <v>-2.8458460510052443</v>
      </c>
      <c r="K13" s="10">
        <f t="shared" si="19"/>
        <v>-1.2153948994755748E-2</v>
      </c>
      <c r="L13" s="10">
        <f t="shared" si="6"/>
        <v>-2.8580000000000001</v>
      </c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2"/>
        <v>0.11357000000000012</v>
      </c>
      <c r="E14" s="6">
        <f t="shared" si="13"/>
        <v>0.55917437867708464</v>
      </c>
      <c r="F14" s="9">
        <f t="shared" si="14"/>
        <v>55.917437867708465</v>
      </c>
      <c r="G14" s="9">
        <f t="shared" si="15"/>
        <v>44.082562132291535</v>
      </c>
      <c r="H14" s="6">
        <f t="shared" si="16"/>
        <v>0.62752421743963638</v>
      </c>
      <c r="I14" s="9">
        <f t="shared" si="17"/>
        <v>62.752421743963637</v>
      </c>
      <c r="J14" s="10">
        <f t="shared" si="18"/>
        <v>-3.2335565746434067</v>
      </c>
      <c r="K14" s="10">
        <f t="shared" si="19"/>
        <v>-6.3443425356593419E-2</v>
      </c>
      <c r="L14" s="10">
        <f t="shared" si="6"/>
        <v>-3.2970000000000002</v>
      </c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2"/>
        <v>0.10483000000000015</v>
      </c>
      <c r="E15" s="6">
        <f t="shared" si="13"/>
        <v>0.5161420279714608</v>
      </c>
      <c r="F15" s="9">
        <f t="shared" si="14"/>
        <v>51.614202797146078</v>
      </c>
      <c r="G15" s="9">
        <f t="shared" si="15"/>
        <v>48.385797202853922</v>
      </c>
      <c r="H15" s="6">
        <f t="shared" si="16"/>
        <v>0.59116401574267563</v>
      </c>
      <c r="I15" s="9">
        <f t="shared" si="17"/>
        <v>59.116401574267563</v>
      </c>
      <c r="J15" s="10">
        <f t="shared" si="18"/>
        <v>-3.4324400758742146</v>
      </c>
      <c r="K15" s="10">
        <f t="shared" si="19"/>
        <v>0.12444007587421479</v>
      </c>
      <c r="L15" s="10">
        <f t="shared" si="6"/>
        <v>-3.3079999999999998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2"/>
        <v>8.9379999999999959E-2</v>
      </c>
      <c r="E16" s="6">
        <f t="shared" si="13"/>
        <v>0.44007225469893241</v>
      </c>
      <c r="F16" s="9">
        <f t="shared" si="14"/>
        <v>44.007225469893243</v>
      </c>
      <c r="G16" s="9">
        <f t="shared" si="15"/>
        <v>55.992774530106757</v>
      </c>
      <c r="H16" s="6">
        <f t="shared" si="16"/>
        <v>0.5268888308207017</v>
      </c>
      <c r="I16" s="9">
        <f t="shared" si="17"/>
        <v>52.68888308207017</v>
      </c>
      <c r="J16" s="10">
        <f t="shared" si="18"/>
        <v>-3.8511635478953661</v>
      </c>
      <c r="K16" s="10">
        <f t="shared" si="19"/>
        <v>-5.2836452104633835E-2</v>
      </c>
      <c r="L16" s="10">
        <f t="shared" si="6"/>
        <v>-3.9039999999999999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20">C19-$B$3-$B$4</f>
        <v>0.2181300000000001</v>
      </c>
      <c r="E19" s="6">
        <f>(D19/$B$23)</f>
        <v>1.0739870319699956</v>
      </c>
      <c r="F19" s="9">
        <f t="shared" ref="F19" si="21">100*E19</f>
        <v>107.39870319699956</v>
      </c>
      <c r="G19" s="9">
        <f t="shared" ref="G19" si="22">100-F19</f>
        <v>-7.3987031969995627</v>
      </c>
      <c r="H19" s="6">
        <f t="shared" ref="H19" si="23">(E19-N$10/100)/(1-N$10/100)</f>
        <v>1.0625153718371456</v>
      </c>
      <c r="I19" s="9">
        <f t="shared" ref="I19" si="24">H19*100</f>
        <v>106.25153718371456</v>
      </c>
      <c r="J19" s="10">
        <f>-1/($K$23+$K$22*G19)</f>
        <v>-1.9097465437525034</v>
      </c>
      <c r="K19" s="10">
        <f t="shared" ref="K19" si="25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B1" zoomScale="85" zoomScaleNormal="85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opLeftCell="A4" zoomScale="95" zoomScaleNormal="95" workbookViewId="0">
      <selection activeCell="B29" sqref="B2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 t="shared" ref="H8:H14" si="3"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 t="shared" ref="K8:K14" si="4">-1/($K$29+$K$28*G8)</f>
        <v>-2.5649159437272537</v>
      </c>
      <c r="L8" s="10">
        <f t="shared" ref="L8:L14" si="5"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6">C9-$B$3-$B$4</f>
        <v>0.12533</v>
      </c>
      <c r="E9" s="6">
        <f t="shared" ref="E9" si="7">(D9/$B$29)</f>
        <v>0.89547886595841819</v>
      </c>
      <c r="F9" s="9">
        <f t="shared" ref="F9" si="8">100*E9</f>
        <v>89.547886595841817</v>
      </c>
      <c r="G9" s="9">
        <f t="shared" ref="G9" si="9">100-F9</f>
        <v>10.452113404158183</v>
      </c>
      <c r="H9" s="6">
        <f t="shared" si="3"/>
        <v>0.87888321281411175</v>
      </c>
      <c r="I9" s="9">
        <f t="shared" ref="I9" si="10">H9*100</f>
        <v>87.88832128141118</v>
      </c>
      <c r="J9" s="9">
        <f t="shared" ref="J9:J14" si="11">100-I9</f>
        <v>12.11167871858882</v>
      </c>
      <c r="K9" s="10">
        <f t="shared" si="4"/>
        <v>-2.7925270242392881</v>
      </c>
      <c r="L9" s="10">
        <f t="shared" si="5"/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2">C10-$B$3-$B$4</f>
        <v>0.11392000000000008</v>
      </c>
      <c r="E10" s="27">
        <f t="shared" ref="E10:E20" si="13">(D10/$B$29)</f>
        <v>0.81395477866419108</v>
      </c>
      <c r="F10" s="28">
        <f t="shared" ref="F10:F20" si="14">100*E10</f>
        <v>81.395477866419114</v>
      </c>
      <c r="G10" s="28">
        <f t="shared" ref="G10:G20" si="15">100-F10</f>
        <v>18.604522133580886</v>
      </c>
      <c r="H10" s="27">
        <f t="shared" si="3"/>
        <v>0.78441489669910935</v>
      </c>
      <c r="I10" s="28">
        <f t="shared" ref="I10:I20" si="16">H10*100</f>
        <v>78.441489669910936</v>
      </c>
      <c r="J10" s="9">
        <f t="shared" si="11"/>
        <v>21.558510330089064</v>
      </c>
      <c r="K10" s="29">
        <f t="shared" si="4"/>
        <v>-3.1288354329597761</v>
      </c>
      <c r="L10" s="29">
        <f t="shared" si="5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2"/>
        <v>0.10366999999999998</v>
      </c>
      <c r="E11" s="6">
        <f t="shared" si="13"/>
        <v>0.74071885449540575</v>
      </c>
      <c r="F11" s="9">
        <f t="shared" si="14"/>
        <v>74.071885449540574</v>
      </c>
      <c r="G11" s="9">
        <f t="shared" si="15"/>
        <v>25.928114550459426</v>
      </c>
      <c r="H11" s="6">
        <f t="shared" si="3"/>
        <v>0.69955072139860208</v>
      </c>
      <c r="I11" s="9">
        <f t="shared" si="16"/>
        <v>69.955072139860206</v>
      </c>
      <c r="J11" s="9">
        <f t="shared" si="11"/>
        <v>30.044927860139794</v>
      </c>
      <c r="K11" s="10">
        <f t="shared" si="4"/>
        <v>-3.508401961228484</v>
      </c>
      <c r="L11" s="10">
        <f t="shared" si="5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2"/>
        <v>9.2500000000000082E-2</v>
      </c>
      <c r="E12" s="6">
        <f t="shared" si="13"/>
        <v>0.66090955957196007</v>
      </c>
      <c r="F12" s="9">
        <f t="shared" si="14"/>
        <v>66.090955957196002</v>
      </c>
      <c r="G12" s="9">
        <f t="shared" si="15"/>
        <v>33.909044042803998</v>
      </c>
      <c r="H12" s="6">
        <f t="shared" si="3"/>
        <v>0.60706946890039215</v>
      </c>
      <c r="I12" s="9">
        <f t="shared" si="16"/>
        <v>60.706946890039212</v>
      </c>
      <c r="J12" s="9">
        <f t="shared" si="11"/>
        <v>39.293053109960788</v>
      </c>
      <c r="K12" s="10">
        <f t="shared" si="4"/>
        <v>-4.0428735897050334</v>
      </c>
      <c r="L12" s="10">
        <f t="shared" si="5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2"/>
        <v>7.7040000000000053E-2</v>
      </c>
      <c r="E13" s="6">
        <f t="shared" si="13"/>
        <v>0.55044835102079781</v>
      </c>
      <c r="F13" s="9">
        <f t="shared" si="14"/>
        <v>55.04483510207978</v>
      </c>
      <c r="G13" s="9">
        <f t="shared" si="15"/>
        <v>44.95516489792022</v>
      </c>
      <c r="H13" s="6">
        <f t="shared" si="3"/>
        <v>0.47906945425201813</v>
      </c>
      <c r="I13" s="9">
        <f t="shared" si="16"/>
        <v>47.906945425201812</v>
      </c>
      <c r="J13" s="9">
        <f t="shared" si="11"/>
        <v>52.093054574798188</v>
      </c>
      <c r="K13" s="10">
        <f t="shared" si="4"/>
        <v>-5.1230674407443031</v>
      </c>
      <c r="L13" s="10">
        <f t="shared" si="5"/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2"/>
        <v>5.8790000000000175E-2</v>
      </c>
      <c r="E14" s="6">
        <f t="shared" si="13"/>
        <v>0.42005268115930394</v>
      </c>
      <c r="F14" s="9">
        <f t="shared" si="14"/>
        <v>42.005268115930392</v>
      </c>
      <c r="G14" s="9">
        <f t="shared" si="15"/>
        <v>57.994731884069608</v>
      </c>
      <c r="H14" s="6">
        <f t="shared" si="3"/>
        <v>0.32796982505843414</v>
      </c>
      <c r="I14" s="9">
        <f t="shared" si="16"/>
        <v>32.796982505843417</v>
      </c>
      <c r="J14" s="9">
        <f t="shared" si="11"/>
        <v>67.203017494156583</v>
      </c>
      <c r="K14" s="10">
        <f t="shared" si="4"/>
        <v>-7.4833260117645723</v>
      </c>
      <c r="L14" s="10">
        <f t="shared" si="5"/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2"/>
        <v>0.14627000000000018</v>
      </c>
      <c r="E20" s="6">
        <f t="shared" si="13"/>
        <v>1.0450945003090879</v>
      </c>
      <c r="F20" s="9">
        <f t="shared" si="14"/>
        <v>104.50945003090879</v>
      </c>
      <c r="G20" s="9">
        <f t="shared" si="15"/>
        <v>-4.5094500309087948</v>
      </c>
      <c r="H20" s="6">
        <f>(E20-N$10/100)/(1-N$10/100)</f>
        <v>1.0522545133792458</v>
      </c>
      <c r="I20" s="9">
        <f t="shared" si="16"/>
        <v>105.22545133792458</v>
      </c>
      <c r="J20" s="10">
        <f t="shared" ref="J20" si="17">-1/($K$29+$K$28*G20)</f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workbookViewId="0">
      <selection activeCell="B6" sqref="B6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procedure</vt:lpstr>
      <vt:lpstr>QUAG_1 (2)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2025-08-19T16:58:47Z</dcterms:modified>
</cp:coreProperties>
</file>