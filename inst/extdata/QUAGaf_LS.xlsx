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4.xml" ContentType="application/vnd.openxmlformats-officedocument.drawingml.chartshapes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8.xml" ContentType="application/vnd.openxmlformats-officedocument.drawingml.chartshapes+xml"/>
  <Override PartName="/xl/charts/chart1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22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ackages/pvest/inst/extdata/"/>
    </mc:Choice>
  </mc:AlternateContent>
  <xr:revisionPtr revIDLastSave="0" documentId="13_ncr:1_{39B01EC5-FF03-CE4A-92D0-685442D5E373}" xr6:coauthVersionLast="46" xr6:coauthVersionMax="47" xr10:uidLastSave="{00000000-0000-0000-0000-000000000000}"/>
  <bookViews>
    <workbookView minimized="1" xWindow="0" yWindow="500" windowWidth="28800" windowHeight="15920" tabRatio="578" activeTab="2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1" l="1"/>
  <c r="B23" i="11" s="1"/>
  <c r="N7" i="11" s="1"/>
  <c r="N17" i="15"/>
  <c r="H23" i="15"/>
  <c r="K34" i="15"/>
  <c r="K8" i="15"/>
  <c r="N9" i="15"/>
  <c r="K28" i="15"/>
  <c r="L33" i="15"/>
  <c r="K36" i="13"/>
  <c r="E8" i="11" l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K22" i="11" l="1"/>
  <c r="K23" i="11" s="1"/>
  <c r="H18" i="15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<sst xmlns="http://schemas.openxmlformats.org/spreadsheetml/2006/main" count="422" uniqueCount="120">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</sst>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8.0000000000000016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QUAG_1!$C$7</c:f>
              <c:strCache>
                <c:ptCount val="1"/>
                <c:pt idx="0">
                  <c:v>M(g)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QUAG_1!$C$8:$C$16</c:f>
              <c:numCache>
                <c:formatCode>General</c:formatCode>
                <c:ptCount val="9"/>
                <c:pt idx="0">
                  <c:v>1.69065</c:v>
                </c:pt>
                <c:pt idx="1">
                  <c:v>1.6804699999999999</c:v>
                </c:pt>
                <c:pt idx="2">
                  <c:v>1.67065</c:v>
                </c:pt>
                <c:pt idx="3" formatCode="0.0000">
                  <c:v>1.6553199999999999</c:v>
                </c:pt>
                <c:pt idx="4">
                  <c:v>1.6475299999999999</c:v>
                </c:pt>
                <c:pt idx="5">
                  <c:v>1.6378999999999999</c:v>
                </c:pt>
                <c:pt idx="6">
                  <c:v>1.6173500000000001</c:v>
                </c:pt>
                <c:pt idx="7" formatCode="0.0000">
                  <c:v>1.6086100000000001</c:v>
                </c:pt>
                <c:pt idx="8">
                  <c:v>1.5931599999999999</c:v>
                </c:pt>
              </c:numCache>
            </c:numRef>
          </c:xVal>
          <c:yVal>
            <c:numRef>
              <c:f>QUAG_1!$A$8:$A$16</c:f>
              <c:numCache>
                <c:formatCode>0.000</c:formatCode>
                <c:ptCount val="9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  <c:pt idx="5">
                  <c:v>-2.8580000000000001</c:v>
                </c:pt>
                <c:pt idx="6">
                  <c:v>-3.2970000000000002</c:v>
                </c:pt>
                <c:pt idx="7">
                  <c:v>-3.3079999999999998</c:v>
                </c:pt>
                <c:pt idx="8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AC-2A4E-8F35-B0765AC27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7730992"/>
        <c:axId val="2007732640"/>
      </c:scatterChart>
      <c:valAx>
        <c:axId val="2007730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2640"/>
        <c:crosses val="autoZero"/>
        <c:crossBetween val="midCat"/>
      </c:valAx>
      <c:valAx>
        <c:axId val="200773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7730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1.xml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602278</xdr:colOff>
      <xdr:row>24</xdr:row>
      <xdr:rowOff>82227</xdr:rowOff>
    </xdr:from>
    <xdr:to>
      <xdr:col>11</xdr:col>
      <xdr:colOff>76717</xdr:colOff>
      <xdr:row>40</xdr:row>
      <xdr:rowOff>110802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3089470</xdr:colOff>
      <xdr:row>30</xdr:row>
      <xdr:rowOff>60391</xdr:rowOff>
    </xdr:from>
    <xdr:to>
      <xdr:col>21</xdr:col>
      <xdr:colOff>199572</xdr:colOff>
      <xdr:row>44</xdr:row>
      <xdr:rowOff>149549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3174999</xdr:colOff>
      <xdr:row>31</xdr:row>
      <xdr:rowOff>122594</xdr:rowOff>
    </xdr:from>
    <xdr:to>
      <xdr:col>20</xdr:col>
      <xdr:colOff>624631</xdr:colOff>
      <xdr:row>46</xdr:row>
      <xdr:rowOff>66611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923341</xdr:colOff>
      <xdr:row>41</xdr:row>
      <xdr:rowOff>16653</xdr:rowOff>
    </xdr:from>
    <xdr:to>
      <xdr:col>17</xdr:col>
      <xdr:colOff>321386</xdr:colOff>
      <xdr:row>55</xdr:row>
      <xdr:rowOff>38424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701092</xdr:colOff>
      <xdr:row>11</xdr:row>
      <xdr:rowOff>60390</xdr:rowOff>
    </xdr:from>
    <xdr:to>
      <xdr:col>12</xdr:col>
      <xdr:colOff>918806</xdr:colOff>
      <xdr:row>24</xdr:row>
      <xdr:rowOff>146957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2D5C46-49E6-8648-9415-DFA7590C55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topLeftCell="A4" zoomScale="98" zoomScaleNormal="98" workbookViewId="0">
      <selection activeCell="G20" sqref="G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abSelected="1" topLeftCell="B1" zoomScale="85" zoomScaleNormal="85" workbookViewId="0">
      <selection activeCell="L20" sqref="L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opLeftCell="A4" zoomScale="95" zoomScaleNormal="95" workbookViewId="0">
      <selection activeCell="B29" sqref="B29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 t="shared" ref="H8:H14" si="3"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 t="shared" ref="K8:K14" si="4">-1/($K$29+$K$28*G8)</f>
        <v>-2.5649159437272537</v>
      </c>
      <c r="L8" s="10">
        <f t="shared" ref="L8:L14" si="5"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6">C9-$B$3-$B$4</f>
        <v>0.12533</v>
      </c>
      <c r="E9" s="6">
        <f t="shared" ref="E9" si="7">(D9/$B$29)</f>
        <v>0.89547886595841819</v>
      </c>
      <c r="F9" s="9">
        <f t="shared" ref="F9" si="8">100*E9</f>
        <v>89.547886595841817</v>
      </c>
      <c r="G9" s="9">
        <f t="shared" ref="G9" si="9">100-F9</f>
        <v>10.452113404158183</v>
      </c>
      <c r="H9" s="6">
        <f t="shared" si="3"/>
        <v>0.87888321281411175</v>
      </c>
      <c r="I9" s="9">
        <f t="shared" ref="I9" si="10">H9*100</f>
        <v>87.88832128141118</v>
      </c>
      <c r="J9" s="9">
        <f t="shared" ref="J9:J14" si="11">100-I9</f>
        <v>12.11167871858882</v>
      </c>
      <c r="K9" s="10">
        <f t="shared" si="4"/>
        <v>-2.7925270242392881</v>
      </c>
      <c r="L9" s="10">
        <f t="shared" si="5"/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12">C10-$B$3-$B$4</f>
        <v>0.11392000000000008</v>
      </c>
      <c r="E10" s="27">
        <f t="shared" ref="E10:E20" si="13">(D10/$B$29)</f>
        <v>0.81395477866419108</v>
      </c>
      <c r="F10" s="28">
        <f t="shared" ref="F10:F20" si="14">100*E10</f>
        <v>81.395477866419114</v>
      </c>
      <c r="G10" s="28">
        <f t="shared" ref="G10:G20" si="15">100-F10</f>
        <v>18.604522133580886</v>
      </c>
      <c r="H10" s="27">
        <f t="shared" si="3"/>
        <v>0.78441489669910935</v>
      </c>
      <c r="I10" s="28">
        <f t="shared" ref="I10:I20" si="16">H10*100</f>
        <v>78.441489669910936</v>
      </c>
      <c r="J10" s="9">
        <f t="shared" si="11"/>
        <v>21.558510330089064</v>
      </c>
      <c r="K10" s="29">
        <f t="shared" si="4"/>
        <v>-3.1288354329597761</v>
      </c>
      <c r="L10" s="29">
        <f t="shared" si="5"/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12"/>
        <v>0.10366999999999998</v>
      </c>
      <c r="E11" s="6">
        <f t="shared" si="13"/>
        <v>0.74071885449540575</v>
      </c>
      <c r="F11" s="9">
        <f t="shared" si="14"/>
        <v>74.071885449540574</v>
      </c>
      <c r="G11" s="9">
        <f t="shared" si="15"/>
        <v>25.928114550459426</v>
      </c>
      <c r="H11" s="6">
        <f t="shared" si="3"/>
        <v>0.69955072139860208</v>
      </c>
      <c r="I11" s="9">
        <f t="shared" si="16"/>
        <v>69.955072139860206</v>
      </c>
      <c r="J11" s="9">
        <f t="shared" si="11"/>
        <v>30.044927860139794</v>
      </c>
      <c r="K11" s="10">
        <f t="shared" si="4"/>
        <v>-3.508401961228484</v>
      </c>
      <c r="L11" s="10">
        <f t="shared" si="5"/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12"/>
        <v>9.2500000000000082E-2</v>
      </c>
      <c r="E12" s="6">
        <f t="shared" si="13"/>
        <v>0.66090955957196007</v>
      </c>
      <c r="F12" s="9">
        <f t="shared" si="14"/>
        <v>66.090955957196002</v>
      </c>
      <c r="G12" s="9">
        <f t="shared" si="15"/>
        <v>33.909044042803998</v>
      </c>
      <c r="H12" s="6">
        <f t="shared" si="3"/>
        <v>0.60706946890039215</v>
      </c>
      <c r="I12" s="9">
        <f t="shared" si="16"/>
        <v>60.706946890039212</v>
      </c>
      <c r="J12" s="9">
        <f t="shared" si="11"/>
        <v>39.293053109960788</v>
      </c>
      <c r="K12" s="10">
        <f t="shared" si="4"/>
        <v>-4.0428735897050334</v>
      </c>
      <c r="L12" s="10">
        <f t="shared" si="5"/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12"/>
        <v>7.7040000000000053E-2</v>
      </c>
      <c r="E13" s="6">
        <f t="shared" si="13"/>
        <v>0.55044835102079781</v>
      </c>
      <c r="F13" s="9">
        <f t="shared" si="14"/>
        <v>55.04483510207978</v>
      </c>
      <c r="G13" s="9">
        <f t="shared" si="15"/>
        <v>44.95516489792022</v>
      </c>
      <c r="H13" s="6">
        <f t="shared" si="3"/>
        <v>0.47906945425201813</v>
      </c>
      <c r="I13" s="9">
        <f t="shared" si="16"/>
        <v>47.906945425201812</v>
      </c>
      <c r="J13" s="9">
        <f t="shared" si="11"/>
        <v>52.093054574798188</v>
      </c>
      <c r="K13" s="10">
        <f t="shared" si="4"/>
        <v>-5.1230674407443031</v>
      </c>
      <c r="L13" s="10">
        <f t="shared" si="5"/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12"/>
        <v>5.8790000000000175E-2</v>
      </c>
      <c r="E14" s="6">
        <f t="shared" si="13"/>
        <v>0.42005268115930394</v>
      </c>
      <c r="F14" s="9">
        <f t="shared" si="14"/>
        <v>42.005268115930392</v>
      </c>
      <c r="G14" s="9">
        <f t="shared" si="15"/>
        <v>57.994731884069608</v>
      </c>
      <c r="H14" s="6">
        <f t="shared" si="3"/>
        <v>0.32796982505843414</v>
      </c>
      <c r="I14" s="9">
        <f t="shared" si="16"/>
        <v>32.796982505843417</v>
      </c>
      <c r="J14" s="9">
        <f t="shared" si="11"/>
        <v>67.203017494156583</v>
      </c>
      <c r="K14" s="10">
        <f t="shared" si="4"/>
        <v>-7.4833260117645723</v>
      </c>
      <c r="L14" s="10">
        <f t="shared" si="5"/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12"/>
        <v>0.14627000000000018</v>
      </c>
      <c r="E20" s="6">
        <f t="shared" si="13"/>
        <v>1.0450945003090879</v>
      </c>
      <c r="F20" s="9">
        <f t="shared" si="14"/>
        <v>104.50945003090879</v>
      </c>
      <c r="G20" s="9">
        <f t="shared" si="15"/>
        <v>-4.5094500309087948</v>
      </c>
      <c r="H20" s="6">
        <f>(E20-N$10/100)/(1-N$10/100)</f>
        <v>1.0522545133792458</v>
      </c>
      <c r="I20" s="9">
        <f t="shared" si="16"/>
        <v>105.22545133792458</v>
      </c>
      <c r="J20" s="10">
        <f t="shared" ref="J20" si="17">-1/($K$29+$K$28*G20)</f>
        <v>-2.3324253702194326</v>
      </c>
      <c r="K20" s="10">
        <f t="shared" ref="K20" si="18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3" workbookViewId="0">
      <selection activeCell="J16" sqref="J16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2025-04-08T00:54:57Z</dcterms:modified>
</cp:coreProperties>
</file>