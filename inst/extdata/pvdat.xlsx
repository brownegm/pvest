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.bean/Documents/Research_UCLA/Packages/pvest/inst/extdata/"/>
    </mc:Choice>
  </mc:AlternateContent>
  <xr:revisionPtr revIDLastSave="0" documentId="13_ncr:1_{30F11866-710A-CE46-9406-4BC066A6E62B}" xr6:coauthVersionLast="46" xr6:coauthVersionMax="47" xr10:uidLastSave="{00000000-0000-0000-0000-000000000000}"/>
  <bookViews>
    <workbookView xWindow="0" yWindow="0" windowWidth="14280" windowHeight="18000" xr2:uid="{13E884F8-8516-40EF-9BB8-FD1504D05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3" i="1"/>
  <c r="O279" i="1"/>
  <c r="M279" i="1"/>
  <c r="O278" i="1"/>
  <c r="M278" i="1"/>
  <c r="O277" i="1"/>
  <c r="M277" i="1"/>
  <c r="O276" i="1"/>
  <c r="M276" i="1"/>
  <c r="O275" i="1"/>
  <c r="M275" i="1"/>
  <c r="O274" i="1"/>
  <c r="M274" i="1"/>
  <c r="O273" i="1"/>
  <c r="M273" i="1"/>
  <c r="O272" i="1"/>
  <c r="M272" i="1"/>
  <c r="O271" i="1"/>
  <c r="M271" i="1"/>
  <c r="O270" i="1"/>
  <c r="M270" i="1"/>
  <c r="O269" i="1"/>
  <c r="M269" i="1"/>
  <c r="O147" i="1"/>
  <c r="M147" i="1"/>
  <c r="O146" i="1"/>
  <c r="M146" i="1"/>
  <c r="O145" i="1"/>
  <c r="M145" i="1"/>
  <c r="O144" i="1"/>
  <c r="M144" i="1"/>
  <c r="S143" i="1"/>
  <c r="O143" i="1"/>
  <c r="M143" i="1"/>
  <c r="O142" i="1"/>
  <c r="M142" i="1"/>
  <c r="O35" i="1"/>
  <c r="M35" i="1"/>
  <c r="O34" i="1"/>
  <c r="M34" i="1"/>
  <c r="O33" i="1"/>
  <c r="M33" i="1"/>
  <c r="O32" i="1"/>
  <c r="M32" i="1"/>
  <c r="O31" i="1"/>
  <c r="M31" i="1"/>
</calcChain>
</file>

<file path=xl/sharedStrings.xml><?xml version="1.0" encoding="utf-8"?>
<sst xmlns="http://schemas.openxmlformats.org/spreadsheetml/2006/main" count="1516" uniqueCount="183">
  <si>
    <t>species</t>
  </si>
  <si>
    <t>family</t>
  </si>
  <si>
    <t>leaf habit</t>
  </si>
  <si>
    <t>habitat</t>
  </si>
  <si>
    <t>spcode</t>
  </si>
  <si>
    <t>individual</t>
  </si>
  <si>
    <t>swc</t>
  </si>
  <si>
    <t>pi_o</t>
  </si>
  <si>
    <t>psi_tlp</t>
  </si>
  <si>
    <t>af</t>
  </si>
  <si>
    <t>rwc_tlp</t>
  </si>
  <si>
    <t>rwc_tlp_sym</t>
  </si>
  <si>
    <t>modulus</t>
  </si>
  <si>
    <t>mod_sym</t>
  </si>
  <si>
    <t>cap_ft</t>
  </si>
  <si>
    <t>cap_tlp</t>
  </si>
  <si>
    <t>cap_ft_sym</t>
  </si>
  <si>
    <t>cap_tlp_sym</t>
  </si>
  <si>
    <r>
      <t>g*g</t>
    </r>
    <r>
      <rPr>
        <vertAlign val="superscript"/>
        <sz val="12"/>
        <color theme="1"/>
        <rFont val="Times New Roman"/>
        <family val="1"/>
      </rPr>
      <t>-1</t>
    </r>
  </si>
  <si>
    <t>MPa</t>
  </si>
  <si>
    <t>%</t>
  </si>
  <si>
    <r>
      <t>MPa</t>
    </r>
    <r>
      <rPr>
        <vertAlign val="superscript"/>
        <sz val="12"/>
        <color theme="1"/>
        <rFont val="Times New Roman"/>
        <family val="1"/>
      </rPr>
      <t>-1</t>
    </r>
  </si>
  <si>
    <t>Acer negundo</t>
  </si>
  <si>
    <t>Sapindaceae</t>
  </si>
  <si>
    <t>D</t>
  </si>
  <si>
    <t>Woodland</t>
  </si>
  <si>
    <t>ACNE</t>
  </si>
  <si>
    <t>Alberta magna</t>
  </si>
  <si>
    <t>Rubiaceae</t>
  </si>
  <si>
    <t>E</t>
  </si>
  <si>
    <t>Shrubland</t>
  </si>
  <si>
    <t>ALMA</t>
  </si>
  <si>
    <t>Alnus rhombifolia</t>
  </si>
  <si>
    <t>Betulaceae</t>
  </si>
  <si>
    <t>ALRH</t>
  </si>
  <si>
    <t>Angelique sp.</t>
  </si>
  <si>
    <t>Dialioideae</t>
  </si>
  <si>
    <t>Tropical wet forest</t>
  </si>
  <si>
    <t>ANGE</t>
  </si>
  <si>
    <t>Arctostaphylos bakeri</t>
  </si>
  <si>
    <t>Ericaceae</t>
  </si>
  <si>
    <t xml:space="preserve">Chaparral </t>
  </si>
  <si>
    <t>ARBA</t>
  </si>
  <si>
    <t xml:space="preserve">Baccaurea ramiflora </t>
  </si>
  <si>
    <t>Phyllanthaceae</t>
  </si>
  <si>
    <t>BACCRA</t>
  </si>
  <si>
    <t>Bauhinia galpinii</t>
  </si>
  <si>
    <t>Fabaceae</t>
  </si>
  <si>
    <t>BAGA</t>
  </si>
  <si>
    <t>Betula occidentalis</t>
  </si>
  <si>
    <t>BEOC</t>
  </si>
  <si>
    <t>Camellia sasanqua</t>
  </si>
  <si>
    <t>Theaceae</t>
  </si>
  <si>
    <t>CASA</t>
  </si>
  <si>
    <t>Cercis occidentalis</t>
  </si>
  <si>
    <t>CEOC</t>
  </si>
  <si>
    <t>Cercocarpus betuloides</t>
  </si>
  <si>
    <t>Rosaceae</t>
  </si>
  <si>
    <t>CEBE_a</t>
  </si>
  <si>
    <t>CEBE</t>
  </si>
  <si>
    <t>Clematis lasiantha</t>
  </si>
  <si>
    <t>Ranunculaceae</t>
  </si>
  <si>
    <t>CLLA</t>
  </si>
  <si>
    <t>Clematis ligusticifolia</t>
  </si>
  <si>
    <t>CLLI</t>
  </si>
  <si>
    <t>Cleome isomeris</t>
  </si>
  <si>
    <t>Capparaceae</t>
  </si>
  <si>
    <t>Desert</t>
  </si>
  <si>
    <t>CLIS</t>
  </si>
  <si>
    <t>Comarostaphylis diversifolia</t>
  </si>
  <si>
    <t>CODI</t>
  </si>
  <si>
    <t>Encelia californica</t>
  </si>
  <si>
    <t>Asteraceae</t>
  </si>
  <si>
    <t>ENCA</t>
  </si>
  <si>
    <t>Encelia farinosa</t>
  </si>
  <si>
    <t>ENFA</t>
  </si>
  <si>
    <t>ENFA_a</t>
  </si>
  <si>
    <t>Eschweilera coriacea</t>
  </si>
  <si>
    <t>Lecythidaceae</t>
  </si>
  <si>
    <t>ESCO</t>
  </si>
  <si>
    <t>G21_422_2</t>
  </si>
  <si>
    <t>G21_422_1</t>
  </si>
  <si>
    <t>G21_312_1</t>
  </si>
  <si>
    <t>G21_040_1</t>
  </si>
  <si>
    <t>G21_040_3</t>
  </si>
  <si>
    <t>Fraxinus dipetala</t>
  </si>
  <si>
    <t>Oleaceae</t>
  </si>
  <si>
    <t>FRDI</t>
  </si>
  <si>
    <t>Goupia glabra</t>
  </si>
  <si>
    <t>Goupiaceae</t>
  </si>
  <si>
    <t>GOGL</t>
  </si>
  <si>
    <t>G21_303_2</t>
  </si>
  <si>
    <t>G21_303_1</t>
  </si>
  <si>
    <t>G20_294_2</t>
  </si>
  <si>
    <t>G20_294_3</t>
  </si>
  <si>
    <t>H20_362_2</t>
  </si>
  <si>
    <t>Hedera canariensis</t>
  </si>
  <si>
    <t>Araliaceae</t>
  </si>
  <si>
    <t>HECA</t>
  </si>
  <si>
    <t xml:space="preserve">Helianthus annuus  </t>
  </si>
  <si>
    <t>Grassland</t>
  </si>
  <si>
    <t>HEAN</t>
  </si>
  <si>
    <t>Heteromeles arbutifolia</t>
  </si>
  <si>
    <t>HEAR</t>
  </si>
  <si>
    <t>Knema globularia</t>
  </si>
  <si>
    <t>Myristicaceae</t>
  </si>
  <si>
    <t>KNEMGL</t>
  </si>
  <si>
    <t>Lantana camara</t>
  </si>
  <si>
    <t>Verbenaceae</t>
  </si>
  <si>
    <t>LACA</t>
  </si>
  <si>
    <t>Licania alba</t>
  </si>
  <si>
    <t>Chrysobalanaceae</t>
  </si>
  <si>
    <t>LIAL</t>
  </si>
  <si>
    <t>H20_417_3</t>
  </si>
  <si>
    <t>H20_417_1</t>
  </si>
  <si>
    <t>H20_329_1</t>
  </si>
  <si>
    <t>H20_329_2</t>
  </si>
  <si>
    <t>H20_280_1</t>
  </si>
  <si>
    <t>H20_280_2</t>
  </si>
  <si>
    <t>Magnolia grandiflora</t>
  </si>
  <si>
    <t>Magnoliaceae</t>
  </si>
  <si>
    <t>MAGR</t>
  </si>
  <si>
    <t>Malosma laurina</t>
  </si>
  <si>
    <t>Anacardiaceae</t>
  </si>
  <si>
    <t>MALA</t>
  </si>
  <si>
    <t>Monardella macrantha</t>
  </si>
  <si>
    <t>Lamiaceae</t>
  </si>
  <si>
    <t>MOMA</t>
  </si>
  <si>
    <t>Monardella villosa</t>
  </si>
  <si>
    <t>MOVI</t>
  </si>
  <si>
    <t>Platanus racemosa</t>
  </si>
  <si>
    <t>Platanaceae</t>
  </si>
  <si>
    <t>PLRA</t>
  </si>
  <si>
    <t>PLRA_a</t>
  </si>
  <si>
    <t>Prunus ilicifolia</t>
  </si>
  <si>
    <t xml:space="preserve">PRIL </t>
  </si>
  <si>
    <t>Qualea rosea</t>
  </si>
  <si>
    <t>Vochysiaceae</t>
  </si>
  <si>
    <t>QURO</t>
  </si>
  <si>
    <t>H20_396_1</t>
  </si>
  <si>
    <t>G21_373_1</t>
  </si>
  <si>
    <t>G21_373_2</t>
  </si>
  <si>
    <t>H20_475_1</t>
  </si>
  <si>
    <t>H20_475_2</t>
  </si>
  <si>
    <t>Quercus agrifolia</t>
  </si>
  <si>
    <t>Fagaceae</t>
  </si>
  <si>
    <t>QUAG</t>
  </si>
  <si>
    <t>QUAG_a</t>
  </si>
  <si>
    <t>Quercus berberidifolia</t>
  </si>
  <si>
    <t>QUBE</t>
  </si>
  <si>
    <t>Quercus engelmannii</t>
  </si>
  <si>
    <t>QUEN</t>
  </si>
  <si>
    <t>Raphiolepis indica</t>
  </si>
  <si>
    <t>RAIN</t>
  </si>
  <si>
    <t>Rhus integrifolia</t>
  </si>
  <si>
    <t>RHIN</t>
  </si>
  <si>
    <t>Romneya coulteri</t>
  </si>
  <si>
    <t>Papaveraceae</t>
  </si>
  <si>
    <t>ROCO</t>
  </si>
  <si>
    <t>Ruscus aculeatus</t>
  </si>
  <si>
    <t>Asparagaceae</t>
  </si>
  <si>
    <t>RUAC</t>
  </si>
  <si>
    <t>Salvia apiana</t>
  </si>
  <si>
    <t>SAAP</t>
  </si>
  <si>
    <t>Salvia canariensis</t>
  </si>
  <si>
    <t>SACA</t>
  </si>
  <si>
    <t>Salvia leucophylla</t>
  </si>
  <si>
    <t>SALE</t>
  </si>
  <si>
    <t>Salvia mellifera</t>
  </si>
  <si>
    <t>SAME</t>
  </si>
  <si>
    <t xml:space="preserve">Saprosma ternata </t>
  </si>
  <si>
    <t>SAPRTE</t>
  </si>
  <si>
    <t>Sloanea tomentosa</t>
  </si>
  <si>
    <t>Elaeaocarpaceae</t>
  </si>
  <si>
    <t>SLOATO</t>
  </si>
  <si>
    <t>Umbellularia californica</t>
  </si>
  <si>
    <t>Lauraceae</t>
  </si>
  <si>
    <t>UMCA</t>
  </si>
  <si>
    <t>Vitis californica</t>
  </si>
  <si>
    <t>Vitaceae</t>
  </si>
  <si>
    <t>VICA</t>
  </si>
  <si>
    <t>Vitis giradiana</t>
  </si>
  <si>
    <t>VIGI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</si>
</sst>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10" fillId="0" borderId="0"/>
  </cellStyleXfs>
  <cellXfs count="27">
    <xf numFmtId="0" fontId="0" fillId="0" borderId="0" xfId="0"/>
    <xf numFmtId="1" fontId="2" fillId="2" borderId="0" xfId="0" applyNumberFormat="1" applyFont="1" applyFill="1"/>
    <xf numFmtId="1" fontId="2" fillId="3" borderId="0" xfId="0" applyNumberFormat="1" applyFont="1" applyFill="1"/>
    <xf numFmtId="1" fontId="2" fillId="3" borderId="0" xfId="0" applyNumberFormat="1" applyFont="1" applyFill="1" applyAlignment="1">
      <alignment horizontal="right"/>
    </xf>
    <xf numFmtId="1" fontId="4" fillId="0" borderId="0" xfId="0" applyNumberFormat="1" applyFont="1"/>
    <xf numFmtId="1" fontId="5" fillId="0" borderId="0" xfId="0" applyNumberFormat="1" applyFont="1"/>
    <xf numFmtId="164" fontId="5" fillId="0" borderId="0" xfId="0" applyNumberFormat="1" applyFont="1"/>
    <xf numFmtId="1" fontId="6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" fontId="6" fillId="0" borderId="0" xfId="0" applyNumberFormat="1" applyFont="1" applyAlignment="1">
      <alignment vertical="top"/>
    </xf>
    <xf numFmtId="1" fontId="2" fillId="0" borderId="0" xfId="0" applyNumberFormat="1" applyFont="1" applyAlignment="1">
      <alignment vertical="top"/>
    </xf>
    <xf numFmtId="164" fontId="8" fillId="0" borderId="0" xfId="2" applyNumberFormat="1" applyFont="1" applyAlignment="1">
      <alignment horizontal="right"/>
    </xf>
    <xf numFmtId="164" fontId="8" fillId="0" borderId="0" xfId="2" applyNumberFormat="1" applyFont="1"/>
    <xf numFmtId="164" fontId="5" fillId="0" borderId="0" xfId="2" applyNumberFormat="1" applyFont="1"/>
    <xf numFmtId="165" fontId="2" fillId="0" borderId="0" xfId="0" applyNumberFormat="1" applyFont="1"/>
    <xf numFmtId="0" fontId="4" fillId="0" borderId="0" xfId="0" applyFont="1"/>
    <xf numFmtId="0" fontId="5" fillId="0" borderId="0" xfId="0" applyFont="1"/>
    <xf numFmtId="0" fontId="9" fillId="0" borderId="0" xfId="1" applyFont="1"/>
    <xf numFmtId="0" fontId="4" fillId="0" borderId="0" xfId="2" applyFont="1"/>
    <xf numFmtId="0" fontId="5" fillId="0" borderId="0" xfId="2" applyFont="1"/>
    <xf numFmtId="0" fontId="4" fillId="0" borderId="0" xfId="3" applyFont="1"/>
    <xf numFmtId="0" fontId="5" fillId="0" borderId="0" xfId="3" applyFont="1"/>
    <xf numFmtId="0" fontId="6" fillId="0" borderId="0" xfId="0" applyFont="1"/>
    <xf numFmtId="0" fontId="11" fillId="0" borderId="0" xfId="0" applyFont="1"/>
    <xf numFmtId="164" fontId="8" fillId="0" borderId="0" xfId="0" applyNumberFormat="1" applyFont="1" applyAlignment="1">
      <alignment horizontal="right"/>
    </xf>
    <xf numFmtId="164" fontId="8" fillId="0" borderId="0" xfId="0" applyNumberFormat="1" applyFont="1"/>
  </cellXfs>
  <cellStyles count="4">
    <cellStyle name="Hyperlink" xfId="1" builtinId="8"/>
    <cellStyle name="Normal" xfId="0" builtinId="0"/>
    <cellStyle name="Normal 2" xfId="2" xr:uid="{25F36B01-AF3A-42D7-A035-559BF3913805}"/>
    <cellStyle name="Normal 4" xfId="3" xr:uid="{6245FF4D-5FB1-4C89-89CC-CF843ADF15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Chrysobalanaceae" TargetMode="External"/><Relationship Id="rId1" Type="http://schemas.openxmlformats.org/officeDocument/2006/relationships/hyperlink" Target="https://en.wikipedia.org/wiki/Chrysobalanac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0F56-5001-4285-B0BB-E6AF41ACC529}">
  <dimension ref="A1:S295"/>
  <sheetViews>
    <sheetView tabSelected="1" topLeftCell="A7" workbookViewId="0">
      <selection activeCell="F36" sqref="F36"/>
    </sheetView>
  </sheetViews>
  <sheetFormatPr baseColWidth="10" defaultColWidth="8.83203125" defaultRowHeight="15" x14ac:dyDescent="0.2"/>
  <sheetData>
    <row r="1" spans="1:1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t="18" x14ac:dyDescent="0.2">
      <c r="A2" s="1"/>
      <c r="B2" s="1"/>
      <c r="C2" s="1"/>
      <c r="D2" s="1"/>
      <c r="E2" s="1"/>
      <c r="F2" s="1"/>
      <c r="G2" s="1"/>
      <c r="H2" s="3" t="s">
        <v>18</v>
      </c>
      <c r="I2" s="3" t="s">
        <v>19</v>
      </c>
      <c r="J2" s="3" t="s">
        <v>19</v>
      </c>
      <c r="K2" s="3" t="s">
        <v>20</v>
      </c>
      <c r="L2" s="3" t="s">
        <v>20</v>
      </c>
      <c r="M2" s="3" t="s">
        <v>20</v>
      </c>
      <c r="N2" s="3" t="s">
        <v>19</v>
      </c>
      <c r="O2" s="3" t="s">
        <v>19</v>
      </c>
      <c r="P2" s="3" t="s">
        <v>21</v>
      </c>
      <c r="Q2" s="3" t="s">
        <v>21</v>
      </c>
      <c r="R2" s="3" t="s">
        <v>21</v>
      </c>
      <c r="S2" s="3" t="s">
        <v>21</v>
      </c>
    </row>
    <row r="3" spans="1:19" ht="16" x14ac:dyDescent="0.2">
      <c r="A3" s="4" t="s">
        <v>22</v>
      </c>
      <c r="B3" s="5" t="s">
        <v>23</v>
      </c>
      <c r="C3" s="5" t="s">
        <v>24</v>
      </c>
      <c r="D3" s="4" t="s">
        <v>25</v>
      </c>
      <c r="E3" s="5" t="s">
        <v>26</v>
      </c>
      <c r="F3" s="5">
        <v>1</v>
      </c>
      <c r="G3" s="5" t="str">
        <f>_xlfn.CONCAT(E3,F3)</f>
        <v>ACNE1</v>
      </c>
      <c r="H3" s="6">
        <v>4.26870638081708</v>
      </c>
      <c r="I3" s="6">
        <v>-1.4229870497515151</v>
      </c>
      <c r="J3" s="6">
        <v>-1.6126149373737961</v>
      </c>
      <c r="K3" s="6">
        <v>-36.175120794763643</v>
      </c>
      <c r="L3" s="6">
        <v>83.987125565714365</v>
      </c>
      <c r="M3" s="6">
        <v>88.240969172027079</v>
      </c>
      <c r="N3" s="6">
        <v>9.2371578167813819</v>
      </c>
      <c r="O3" s="6">
        <v>12.578710815005003</v>
      </c>
      <c r="P3" s="6">
        <v>9.6269033355051131E-2</v>
      </c>
      <c r="Q3" s="6">
        <v>0.53425966196338137</v>
      </c>
      <c r="R3" s="6">
        <v>7.0695023285599276E-2</v>
      </c>
      <c r="S3" s="6">
        <v>0.39233279827127288</v>
      </c>
    </row>
    <row r="4" spans="1:19" ht="16" x14ac:dyDescent="0.2">
      <c r="A4" s="4" t="s">
        <v>22</v>
      </c>
      <c r="B4" s="5" t="s">
        <v>23</v>
      </c>
      <c r="C4" s="5" t="s">
        <v>24</v>
      </c>
      <c r="D4" s="4" t="s">
        <v>25</v>
      </c>
      <c r="E4" s="5" t="s">
        <v>26</v>
      </c>
      <c r="F4" s="5">
        <v>2</v>
      </c>
      <c r="G4" s="5" t="str">
        <f t="shared" ref="G4:G67" si="0">_xlfn.CONCAT(E4,F4)</f>
        <v>ACNE2</v>
      </c>
      <c r="H4" s="6">
        <v>3.9810426278371405</v>
      </c>
      <c r="I4" s="6">
        <v>-1.3676368888999253</v>
      </c>
      <c r="J4" s="6">
        <v>-1.6297367212633964</v>
      </c>
      <c r="K4" s="6">
        <v>2.1295269037921969</v>
      </c>
      <c r="L4" s="6">
        <v>84.260135850676548</v>
      </c>
      <c r="M4" s="6">
        <v>83.917658052136957</v>
      </c>
      <c r="N4" s="6">
        <v>9.8500536284874975</v>
      </c>
      <c r="O4" s="6">
        <v>9.6402940864308988</v>
      </c>
      <c r="P4" s="6">
        <v>8.7610437137921895E-2</v>
      </c>
      <c r="Q4" s="6">
        <v>0.3350879994381557</v>
      </c>
      <c r="R4" s="6">
        <v>8.951671976879054E-2</v>
      </c>
      <c r="S4" s="6">
        <v>0.34237905349528819</v>
      </c>
    </row>
    <row r="5" spans="1:19" ht="16" x14ac:dyDescent="0.2">
      <c r="A5" s="4" t="s">
        <v>22</v>
      </c>
      <c r="B5" s="5" t="s">
        <v>23</v>
      </c>
      <c r="C5" s="5" t="s">
        <v>24</v>
      </c>
      <c r="D5" s="4" t="s">
        <v>25</v>
      </c>
      <c r="E5" s="5" t="s">
        <v>26</v>
      </c>
      <c r="F5" s="5">
        <v>4</v>
      </c>
      <c r="G5" s="5" t="str">
        <f t="shared" si="0"/>
        <v>ACNE4</v>
      </c>
      <c r="H5" s="6">
        <v>4.0528620627507577</v>
      </c>
      <c r="I5" s="6">
        <v>-1.3256313720653601</v>
      </c>
      <c r="J5" s="6">
        <v>-1.4633364868241856</v>
      </c>
      <c r="K5" s="6">
        <v>25.591162090723671</v>
      </c>
      <c r="L5" s="6">
        <v>92.997866413072757</v>
      </c>
      <c r="M5" s="6">
        <v>90.589647972375715</v>
      </c>
      <c r="N5" s="6">
        <v>18.886268162977942</v>
      </c>
      <c r="O5" s="6">
        <v>14.053052664501514</v>
      </c>
      <c r="P5" s="6">
        <v>4.8111006300708747E-2</v>
      </c>
      <c r="Q5" s="6">
        <v>0.22744364158660463</v>
      </c>
      <c r="R5" s="6">
        <v>6.4657650425032229E-2</v>
      </c>
      <c r="S5" s="6">
        <v>0.30566750936752601</v>
      </c>
    </row>
    <row r="6" spans="1:19" ht="16" x14ac:dyDescent="0.2">
      <c r="A6" s="4" t="s">
        <v>22</v>
      </c>
      <c r="B6" s="5" t="s">
        <v>23</v>
      </c>
      <c r="C6" s="5" t="s">
        <v>24</v>
      </c>
      <c r="D6" s="4" t="s">
        <v>25</v>
      </c>
      <c r="E6" s="5" t="s">
        <v>26</v>
      </c>
      <c r="F6" s="5">
        <v>5</v>
      </c>
      <c r="G6" s="5" t="str">
        <f t="shared" si="0"/>
        <v>ACNE5</v>
      </c>
      <c r="H6" s="6">
        <v>3.9188578355115529</v>
      </c>
      <c r="I6" s="6">
        <v>-1.5291216511202832</v>
      </c>
      <c r="J6" s="6">
        <v>-1.8233105615420577</v>
      </c>
      <c r="K6" s="6">
        <v>-4.269359230806927</v>
      </c>
      <c r="L6" s="6">
        <v>83.176267483173831</v>
      </c>
      <c r="M6" s="6">
        <v>83.865123329677544</v>
      </c>
      <c r="N6" s="6">
        <v>11.124280701656353</v>
      </c>
      <c r="O6" s="6">
        <v>11.599216206653391</v>
      </c>
      <c r="P6" s="6">
        <v>7.9185199647014357E-2</v>
      </c>
      <c r="Q6" s="6">
        <v>0.321398717515676</v>
      </c>
      <c r="R6" s="6">
        <v>7.5942923435189449E-2</v>
      </c>
      <c r="S6" s="6">
        <v>0.30823889193011977</v>
      </c>
    </row>
    <row r="7" spans="1:19" ht="16" x14ac:dyDescent="0.2">
      <c r="A7" s="4" t="s">
        <v>22</v>
      </c>
      <c r="B7" s="5" t="s">
        <v>23</v>
      </c>
      <c r="C7" s="5" t="s">
        <v>24</v>
      </c>
      <c r="D7" s="4" t="s">
        <v>25</v>
      </c>
      <c r="E7" s="5" t="s">
        <v>26</v>
      </c>
      <c r="F7" s="5">
        <v>6</v>
      </c>
      <c r="G7" s="5" t="str">
        <f t="shared" si="0"/>
        <v>ACNE6</v>
      </c>
      <c r="H7" s="6">
        <v>6.508365858517517</v>
      </c>
      <c r="I7" s="6">
        <v>-0.71685597977061644</v>
      </c>
      <c r="J7" s="6">
        <v>-1.8065736647311226</v>
      </c>
      <c r="K7" s="6">
        <v>8.4271080306587436</v>
      </c>
      <c r="L7" s="6">
        <v>44.763614243861518</v>
      </c>
      <c r="M7" s="6">
        <v>39.680417896344579</v>
      </c>
      <c r="N7" s="6">
        <v>1.4747832223536632</v>
      </c>
      <c r="O7" s="6">
        <v>1.3505016469878859</v>
      </c>
      <c r="P7" s="6">
        <v>0.28741693656027673</v>
      </c>
      <c r="Q7" s="6">
        <v>0.12468446593335283</v>
      </c>
      <c r="R7" s="6">
        <v>0.31386683370937457</v>
      </c>
      <c r="S7" s="6">
        <v>0.13615870728981319</v>
      </c>
    </row>
    <row r="8" spans="1:19" ht="16" x14ac:dyDescent="0.2">
      <c r="A8" s="7" t="s">
        <v>27</v>
      </c>
      <c r="B8" s="8" t="s">
        <v>28</v>
      </c>
      <c r="C8" s="8" t="s">
        <v>29</v>
      </c>
      <c r="D8" s="7" t="s">
        <v>30</v>
      </c>
      <c r="E8" s="8" t="s">
        <v>31</v>
      </c>
      <c r="F8" s="8">
        <v>1</v>
      </c>
      <c r="G8" s="5" t="str">
        <f t="shared" si="0"/>
        <v>ALMA1</v>
      </c>
      <c r="H8" s="9">
        <v>2.2987331498608632</v>
      </c>
      <c r="I8" s="9">
        <v>-1.3725630211709425</v>
      </c>
      <c r="J8" s="9">
        <v>-2.1321550792842054</v>
      </c>
      <c r="K8" s="9">
        <v>52.648434523757864</v>
      </c>
      <c r="L8" s="9">
        <v>83.130742494087897</v>
      </c>
      <c r="M8" s="9">
        <v>64.374446047879928</v>
      </c>
      <c r="N8" s="9">
        <v>7.6237931774353971</v>
      </c>
      <c r="O8" s="9">
        <v>3.6099854181865725</v>
      </c>
      <c r="P8" s="9">
        <v>8.2737787556348363E-2</v>
      </c>
      <c r="Q8" s="9">
        <v>9.9254161511843145E-2</v>
      </c>
      <c r="R8" s="9">
        <v>0.17473083883121324</v>
      </c>
      <c r="S8" s="9">
        <v>0.2096111512123956</v>
      </c>
    </row>
    <row r="9" spans="1:19" ht="16" x14ac:dyDescent="0.2">
      <c r="A9" s="7" t="s">
        <v>27</v>
      </c>
      <c r="B9" s="8" t="s">
        <v>28</v>
      </c>
      <c r="C9" s="8" t="s">
        <v>29</v>
      </c>
      <c r="D9" s="7" t="s">
        <v>30</v>
      </c>
      <c r="E9" s="8" t="s">
        <v>31</v>
      </c>
      <c r="F9" s="8">
        <v>2</v>
      </c>
      <c r="G9" s="5" t="str">
        <f t="shared" si="0"/>
        <v>ALMA2</v>
      </c>
      <c r="H9" s="9">
        <v>2.1398592296157029</v>
      </c>
      <c r="I9" s="9">
        <v>-1.6467200168906246</v>
      </c>
      <c r="J9" s="9">
        <v>-2.3066216628673595</v>
      </c>
      <c r="K9" s="9">
        <v>39.06891806098082</v>
      </c>
      <c r="L9" s="9">
        <v>82.568220046663882</v>
      </c>
      <c r="M9" s="9">
        <v>71.390988968844951</v>
      </c>
      <c r="N9" s="9">
        <v>9.0097760821456916</v>
      </c>
      <c r="O9" s="9">
        <v>5.4897540471343564</v>
      </c>
      <c r="P9" s="9">
        <v>7.8214913304496425E-2</v>
      </c>
      <c r="Q9" s="9">
        <v>0.13770976020371528</v>
      </c>
      <c r="R9" s="9">
        <v>0.12836619803136765</v>
      </c>
      <c r="S9" s="9">
        <v>0.22600905124504231</v>
      </c>
    </row>
    <row r="10" spans="1:19" ht="16" x14ac:dyDescent="0.2">
      <c r="A10" s="7" t="s">
        <v>27</v>
      </c>
      <c r="B10" s="8" t="s">
        <v>28</v>
      </c>
      <c r="C10" s="8" t="s">
        <v>29</v>
      </c>
      <c r="D10" s="7" t="s">
        <v>30</v>
      </c>
      <c r="E10" s="8" t="s">
        <v>31</v>
      </c>
      <c r="F10" s="8">
        <v>3</v>
      </c>
      <c r="G10" s="5" t="str">
        <f t="shared" si="0"/>
        <v>ALMA3</v>
      </c>
      <c r="H10" s="9">
        <v>2.1414091357401692</v>
      </c>
      <c r="I10" s="9">
        <v>-1.2015594610132163</v>
      </c>
      <c r="J10" s="9">
        <v>-1.7619287574117168</v>
      </c>
      <c r="K10" s="9">
        <v>54.831504570290988</v>
      </c>
      <c r="L10" s="9">
        <v>85.634471373004331</v>
      </c>
      <c r="M10" s="9">
        <v>64.374446047879928</v>
      </c>
      <c r="N10" s="9">
        <v>7.6107738309106727</v>
      </c>
      <c r="O10" s="9">
        <v>3.6099854181865725</v>
      </c>
      <c r="P10" s="9">
        <v>8.6281565110898559E-2</v>
      </c>
      <c r="Q10" s="9">
        <v>0.10604676031304473</v>
      </c>
      <c r="R10" s="9">
        <v>0.17473083883121324</v>
      </c>
      <c r="S10" s="9">
        <v>0.2096111512123956</v>
      </c>
    </row>
    <row r="11" spans="1:19" ht="16" x14ac:dyDescent="0.2">
      <c r="A11" s="7" t="s">
        <v>27</v>
      </c>
      <c r="B11" s="8" t="s">
        <v>28</v>
      </c>
      <c r="C11" s="8" t="s">
        <v>29</v>
      </c>
      <c r="D11" s="7" t="s">
        <v>30</v>
      </c>
      <c r="E11" s="8" t="s">
        <v>31</v>
      </c>
      <c r="F11" s="8">
        <v>4</v>
      </c>
      <c r="G11" s="5" t="str">
        <f t="shared" si="0"/>
        <v>ALMA4</v>
      </c>
      <c r="H11" s="9">
        <v>2.4964972345818977</v>
      </c>
      <c r="I11" s="9">
        <v>-1.4374583558513634</v>
      </c>
      <c r="J11" s="9">
        <v>-1.9838274547856216</v>
      </c>
      <c r="K11" s="9">
        <v>38.551719416618944</v>
      </c>
      <c r="L11" s="9">
        <v>83.076430557298934</v>
      </c>
      <c r="M11" s="9">
        <v>72.45883972337198</v>
      </c>
      <c r="N11" s="9">
        <v>8.1789395906482394</v>
      </c>
      <c r="O11" s="9">
        <v>5.0258177484068005</v>
      </c>
      <c r="P11" s="9">
        <v>8.8026118066480127E-2</v>
      </c>
      <c r="Q11" s="9">
        <v>0.15652361426521086</v>
      </c>
      <c r="R11" s="9">
        <v>0.14325236968516022</v>
      </c>
      <c r="S11" s="9">
        <v>0.25472415628102008</v>
      </c>
    </row>
    <row r="12" spans="1:19" ht="16" x14ac:dyDescent="0.2">
      <c r="A12" s="7" t="s">
        <v>27</v>
      </c>
      <c r="B12" s="8" t="s">
        <v>28</v>
      </c>
      <c r="C12" s="8" t="s">
        <v>29</v>
      </c>
      <c r="D12" s="7" t="s">
        <v>30</v>
      </c>
      <c r="E12" s="8" t="s">
        <v>31</v>
      </c>
      <c r="F12" s="8">
        <v>5</v>
      </c>
      <c r="G12" s="5" t="str">
        <f t="shared" si="0"/>
        <v>ALMA5</v>
      </c>
      <c r="H12" s="9">
        <v>2.4052366298190884</v>
      </c>
      <c r="I12" s="9">
        <v>-1.3406464198284991</v>
      </c>
      <c r="J12" s="9">
        <v>-1.8860212258463473</v>
      </c>
      <c r="K12" s="9">
        <v>45.378973150651063</v>
      </c>
      <c r="L12" s="9">
        <v>84.205410037688395</v>
      </c>
      <c r="M12" s="9">
        <v>71.083315577579853</v>
      </c>
      <c r="N12" s="9">
        <v>8.1161826588755943</v>
      </c>
      <c r="O12" s="9">
        <v>4.4331423092466498</v>
      </c>
      <c r="P12" s="9">
        <v>8.6690723168280928E-2</v>
      </c>
      <c r="Q12" s="9">
        <v>0.12952001075984979</v>
      </c>
      <c r="R12" s="9">
        <v>0.15871309671160838</v>
      </c>
      <c r="S12" s="9">
        <v>0.23712481846429104</v>
      </c>
    </row>
    <row r="13" spans="1:19" ht="16" x14ac:dyDescent="0.2">
      <c r="A13" s="7" t="s">
        <v>27</v>
      </c>
      <c r="B13" s="8" t="s">
        <v>28</v>
      </c>
      <c r="C13" s="8" t="s">
        <v>29</v>
      </c>
      <c r="D13" s="7" t="s">
        <v>30</v>
      </c>
      <c r="E13" s="8" t="s">
        <v>31</v>
      </c>
      <c r="F13" s="8">
        <v>6</v>
      </c>
      <c r="G13" s="5" t="str">
        <f t="shared" si="0"/>
        <v>ALMA6</v>
      </c>
      <c r="H13" s="9">
        <v>2.6854723752205327</v>
      </c>
      <c r="I13" s="9">
        <v>-1.3336051421803437</v>
      </c>
      <c r="J13" s="9">
        <v>-1.7543785333808668</v>
      </c>
      <c r="K13" s="9">
        <v>39.735168987057364</v>
      </c>
      <c r="L13" s="9">
        <v>85.545971503324779</v>
      </c>
      <c r="M13" s="9">
        <v>76.015815105212795</v>
      </c>
      <c r="N13" s="9">
        <v>7.9414515964146259</v>
      </c>
      <c r="O13" s="9">
        <v>4.7859023845539097</v>
      </c>
      <c r="P13" s="9">
        <v>9.2442002371963677E-2</v>
      </c>
      <c r="Q13" s="9">
        <v>0.15834182339516287</v>
      </c>
      <c r="R13" s="9">
        <v>0.15339295044585885</v>
      </c>
      <c r="S13" s="9">
        <v>0.26274332929127003</v>
      </c>
    </row>
    <row r="14" spans="1:19" ht="16" x14ac:dyDescent="0.2">
      <c r="A14" s="7" t="s">
        <v>32</v>
      </c>
      <c r="B14" s="8" t="s">
        <v>33</v>
      </c>
      <c r="C14" s="5" t="s">
        <v>24</v>
      </c>
      <c r="D14" s="7" t="s">
        <v>25</v>
      </c>
      <c r="E14" s="8" t="s">
        <v>34</v>
      </c>
      <c r="F14" s="8">
        <v>1</v>
      </c>
      <c r="G14" s="5" t="str">
        <f t="shared" si="0"/>
        <v>ALRH1</v>
      </c>
      <c r="H14" s="9">
        <v>3.5452353611117755</v>
      </c>
      <c r="I14" s="9">
        <v>-1.1736291922973647</v>
      </c>
      <c r="J14" s="9">
        <v>-1.716283282414703</v>
      </c>
      <c r="K14" s="9">
        <v>-56.025372479866547</v>
      </c>
      <c r="L14" s="9">
        <v>50.667930285285721</v>
      </c>
      <c r="M14" s="9">
        <v>68.382020865817779</v>
      </c>
      <c r="N14" s="9">
        <v>2.1899218985025986</v>
      </c>
      <c r="O14" s="9">
        <v>3.416833799156838</v>
      </c>
      <c r="P14" s="9">
        <v>0.28819735393029466</v>
      </c>
      <c r="Q14" s="9">
        <v>0.41961354974788756</v>
      </c>
      <c r="R14" s="9">
        <v>0.18471185125193923</v>
      </c>
      <c r="S14" s="9">
        <v>0.26893930331878307</v>
      </c>
    </row>
    <row r="15" spans="1:19" ht="16" x14ac:dyDescent="0.2">
      <c r="A15" s="7" t="s">
        <v>32</v>
      </c>
      <c r="B15" s="8" t="s">
        <v>33</v>
      </c>
      <c r="C15" s="5" t="s">
        <v>24</v>
      </c>
      <c r="D15" s="7" t="s">
        <v>25</v>
      </c>
      <c r="E15" s="8" t="s">
        <v>34</v>
      </c>
      <c r="F15" s="8">
        <v>2</v>
      </c>
      <c r="G15" s="5" t="str">
        <f t="shared" si="0"/>
        <v>ALRH2</v>
      </c>
      <c r="H15" s="9">
        <v>2.718712254843838</v>
      </c>
      <c r="I15" s="9">
        <v>-1.1040599049736146</v>
      </c>
      <c r="J15" s="9">
        <v>-1.3634833424802228</v>
      </c>
      <c r="K15" s="9">
        <v>-11.960648739687628</v>
      </c>
      <c r="L15" s="9">
        <v>78.697784229116138</v>
      </c>
      <c r="M15" s="9">
        <v>80.97347951206298</v>
      </c>
      <c r="N15" s="9">
        <v>5.0092465030837117</v>
      </c>
      <c r="O15" s="9">
        <v>5.6083848818226425</v>
      </c>
      <c r="P15" s="9">
        <v>0.16066986180020984</v>
      </c>
      <c r="Q15" s="9">
        <v>0.22176844328420989</v>
      </c>
      <c r="R15" s="9">
        <v>0.1435056545391879</v>
      </c>
      <c r="S15" s="9">
        <v>0.19807713315401448</v>
      </c>
    </row>
    <row r="16" spans="1:19" ht="16" x14ac:dyDescent="0.2">
      <c r="A16" s="7" t="s">
        <v>32</v>
      </c>
      <c r="B16" s="8" t="s">
        <v>33</v>
      </c>
      <c r="C16" s="5" t="s">
        <v>24</v>
      </c>
      <c r="D16" s="7" t="s">
        <v>25</v>
      </c>
      <c r="E16" s="8" t="s">
        <v>34</v>
      </c>
      <c r="F16" s="8">
        <v>3</v>
      </c>
      <c r="G16" s="5" t="str">
        <f t="shared" si="0"/>
        <v>ALRH3</v>
      </c>
      <c r="H16" s="9">
        <v>3.481956880986274</v>
      </c>
      <c r="I16" s="9">
        <v>-1.1095870413210838</v>
      </c>
      <c r="J16" s="9">
        <v>-1.4014398585542278</v>
      </c>
      <c r="K16" s="9">
        <v>-57.249930862569755</v>
      </c>
      <c r="L16" s="9">
        <v>67.252369017601836</v>
      </c>
      <c r="M16" s="9">
        <v>79.174788311342212</v>
      </c>
      <c r="N16" s="9">
        <v>3.5367476060935501</v>
      </c>
      <c r="O16" s="9">
        <v>5.5615331653657529</v>
      </c>
      <c r="P16" s="9">
        <v>0.22508155441065539</v>
      </c>
      <c r="Q16" s="9">
        <v>0.54746077257961001</v>
      </c>
      <c r="R16" s="9">
        <v>0.1431361865636466</v>
      </c>
      <c r="S16" s="9">
        <v>0.34814690828581019</v>
      </c>
    </row>
    <row r="17" spans="1:19" ht="16" x14ac:dyDescent="0.2">
      <c r="A17" s="7" t="s">
        <v>32</v>
      </c>
      <c r="B17" s="8" t="s">
        <v>33</v>
      </c>
      <c r="C17" s="5" t="s">
        <v>24</v>
      </c>
      <c r="D17" s="7" t="s">
        <v>25</v>
      </c>
      <c r="E17" s="8" t="s">
        <v>34</v>
      </c>
      <c r="F17" s="8">
        <v>4</v>
      </c>
      <c r="G17" s="5" t="str">
        <f t="shared" si="0"/>
        <v>ALRH4</v>
      </c>
      <c r="H17" s="9">
        <v>3.1860498776829589</v>
      </c>
      <c r="I17" s="9">
        <v>-1.1905073750697401</v>
      </c>
      <c r="J17" s="9">
        <v>-1.6083583695324697</v>
      </c>
      <c r="K17" s="9">
        <v>-24.425769037346186</v>
      </c>
      <c r="L17" s="9">
        <v>67.674224654199193</v>
      </c>
      <c r="M17" s="9">
        <v>74.02003170573272</v>
      </c>
      <c r="N17" s="9">
        <v>3.3963226483424012</v>
      </c>
      <c r="O17" s="9">
        <v>4.2259005741895974</v>
      </c>
      <c r="P17" s="9">
        <v>0.21195063514873907</v>
      </c>
      <c r="Q17" s="9">
        <v>0.34922936532664395</v>
      </c>
      <c r="R17" s="9">
        <v>0.17034303809295512</v>
      </c>
      <c r="S17" s="9">
        <v>0.28067286063694941</v>
      </c>
    </row>
    <row r="18" spans="1:19" ht="16" x14ac:dyDescent="0.2">
      <c r="A18" s="7" t="s">
        <v>32</v>
      </c>
      <c r="B18" s="8" t="s">
        <v>33</v>
      </c>
      <c r="C18" s="5" t="s">
        <v>24</v>
      </c>
      <c r="D18" s="7" t="s">
        <v>25</v>
      </c>
      <c r="E18" s="8" t="s">
        <v>34</v>
      </c>
      <c r="F18" s="8">
        <v>5</v>
      </c>
      <c r="G18" s="5" t="str">
        <f t="shared" si="0"/>
        <v>ALRH5</v>
      </c>
      <c r="H18" s="9">
        <v>4.3461841685568858</v>
      </c>
      <c r="I18" s="9">
        <v>-1.2320592683774003</v>
      </c>
      <c r="J18" s="9">
        <v>-1.4095906998399903</v>
      </c>
      <c r="K18" s="9">
        <v>-104.21558920460282</v>
      </c>
      <c r="L18" s="9">
        <v>74.279990721714597</v>
      </c>
      <c r="M18" s="9">
        <v>87.405462345719059</v>
      </c>
      <c r="N18" s="9">
        <v>4.9720702325096058</v>
      </c>
      <c r="O18" s="9">
        <v>10.153742520986158</v>
      </c>
      <c r="P18" s="9">
        <v>0.17612774534199688</v>
      </c>
      <c r="Q18" s="9">
        <v>0.99456963030504031</v>
      </c>
      <c r="R18" s="9">
        <v>8.6245984465728093E-2</v>
      </c>
      <c r="S18" s="9">
        <v>0.48701944556670712</v>
      </c>
    </row>
    <row r="19" spans="1:19" ht="16" x14ac:dyDescent="0.2">
      <c r="A19" s="7" t="s">
        <v>32</v>
      </c>
      <c r="B19" s="8" t="s">
        <v>33</v>
      </c>
      <c r="C19" s="5" t="s">
        <v>24</v>
      </c>
      <c r="D19" s="7" t="s">
        <v>25</v>
      </c>
      <c r="E19" s="8" t="s">
        <v>34</v>
      </c>
      <c r="F19" s="8">
        <v>6</v>
      </c>
      <c r="G19" s="5" t="str">
        <f t="shared" si="0"/>
        <v>ALRH6</v>
      </c>
      <c r="H19" s="9">
        <v>2.6967174017336113</v>
      </c>
      <c r="I19" s="9">
        <v>-1.6284008543977495</v>
      </c>
      <c r="J19" s="9">
        <v>-2.2265007616337282</v>
      </c>
      <c r="K19" s="9">
        <v>-66.260812304049438</v>
      </c>
      <c r="L19" s="9">
        <v>55.337730788349518</v>
      </c>
      <c r="M19" s="9">
        <v>73.137224224566893</v>
      </c>
      <c r="N19" s="9">
        <v>3.5918824043524484</v>
      </c>
      <c r="O19" s="9">
        <v>5.9718928624825951</v>
      </c>
      <c r="P19" s="9">
        <v>0.19845344240209994</v>
      </c>
      <c r="Q19" s="9">
        <v>0.36718555434934236</v>
      </c>
      <c r="R19" s="9">
        <v>0.11936272874643393</v>
      </c>
      <c r="S19" s="9">
        <v>0.22084912810232901</v>
      </c>
    </row>
    <row r="20" spans="1:19" ht="16" x14ac:dyDescent="0.2">
      <c r="A20" s="4" t="s">
        <v>35</v>
      </c>
      <c r="B20" s="5" t="s">
        <v>36</v>
      </c>
      <c r="C20" s="5" t="s">
        <v>29</v>
      </c>
      <c r="D20" s="4" t="s">
        <v>37</v>
      </c>
      <c r="E20" s="5" t="s">
        <v>38</v>
      </c>
      <c r="F20" s="5">
        <v>1</v>
      </c>
      <c r="G20" s="5" t="str">
        <f t="shared" si="0"/>
        <v>ANGE1</v>
      </c>
      <c r="H20" s="6">
        <v>1.4322206894445288</v>
      </c>
      <c r="I20" s="6">
        <v>-1.4470975644377655</v>
      </c>
      <c r="J20" s="6">
        <v>-2.0992080476578141</v>
      </c>
      <c r="K20" s="6">
        <v>-2.8689205661635242E-2</v>
      </c>
      <c r="L20" s="6">
        <v>68.92649257583021</v>
      </c>
      <c r="M20" s="6">
        <v>68.935404761446151</v>
      </c>
      <c r="N20" s="6">
        <v>4.3205514715686331</v>
      </c>
      <c r="O20" s="6">
        <v>4.3217910034660276</v>
      </c>
      <c r="P20" s="6">
        <v>0.14949429703720565</v>
      </c>
      <c r="Q20" s="6">
        <v>0.14074380702212419</v>
      </c>
      <c r="R20" s="6">
        <v>0.14945142061178213</v>
      </c>
      <c r="S20" s="6">
        <v>0.14070344032275703</v>
      </c>
    </row>
    <row r="21" spans="1:19" ht="16" x14ac:dyDescent="0.2">
      <c r="A21" s="4" t="s">
        <v>35</v>
      </c>
      <c r="B21" s="5" t="s">
        <v>36</v>
      </c>
      <c r="C21" s="5" t="s">
        <v>29</v>
      </c>
      <c r="D21" s="4" t="s">
        <v>37</v>
      </c>
      <c r="E21" s="5" t="s">
        <v>38</v>
      </c>
      <c r="F21" s="5">
        <v>2</v>
      </c>
      <c r="G21" s="5" t="str">
        <f t="shared" si="0"/>
        <v>ANGE2</v>
      </c>
      <c r="H21" s="6">
        <v>1.488460805624499</v>
      </c>
      <c r="I21" s="6">
        <v>-1.2739691037375118</v>
      </c>
      <c r="J21" s="6">
        <v>-1.8028936363026606</v>
      </c>
      <c r="K21" s="6">
        <v>6.426890501848348</v>
      </c>
      <c r="L21" s="6">
        <v>72.547957236414192</v>
      </c>
      <c r="M21" s="6">
        <v>70.662466053745845</v>
      </c>
      <c r="N21" s="6">
        <v>4.6233860534234879</v>
      </c>
      <c r="O21" s="6">
        <v>4.3262460942922329</v>
      </c>
      <c r="P21" s="6">
        <v>0.14983441842255504</v>
      </c>
      <c r="Q21" s="6">
        <v>0.19940516576513057</v>
      </c>
      <c r="R21" s="6">
        <v>0.16012550958939192</v>
      </c>
      <c r="S21" s="6">
        <v>0.21310092913933718</v>
      </c>
    </row>
    <row r="22" spans="1:19" ht="16" x14ac:dyDescent="0.2">
      <c r="A22" s="4" t="s">
        <v>35</v>
      </c>
      <c r="B22" s="5" t="s">
        <v>36</v>
      </c>
      <c r="C22" s="5" t="s">
        <v>29</v>
      </c>
      <c r="D22" s="4" t="s">
        <v>37</v>
      </c>
      <c r="E22" s="5" t="s">
        <v>38</v>
      </c>
      <c r="F22" s="5">
        <v>3</v>
      </c>
      <c r="G22" s="5" t="str">
        <f t="shared" si="0"/>
        <v>ANGE3</v>
      </c>
      <c r="H22" s="6">
        <v>1.2276186035264043</v>
      </c>
      <c r="I22" s="6">
        <v>-1.2058741438213274</v>
      </c>
      <c r="J22" s="6">
        <v>-1.447486254774873</v>
      </c>
      <c r="K22" s="6">
        <v>64.089794929119563</v>
      </c>
      <c r="L22" s="6">
        <v>94.005925497855884</v>
      </c>
      <c r="M22" s="6">
        <v>83.308158529552088</v>
      </c>
      <c r="N22" s="6">
        <v>23.769650589640214</v>
      </c>
      <c r="O22" s="6">
        <v>8.5357302713715448</v>
      </c>
      <c r="P22" s="6">
        <v>3.616647775487724E-2</v>
      </c>
      <c r="Q22" s="6">
        <v>6.2206826606160073E-2</v>
      </c>
      <c r="R22" s="6">
        <v>0.10071364862297766</v>
      </c>
      <c r="S22" s="6">
        <v>0.17322882585430713</v>
      </c>
    </row>
    <row r="23" spans="1:19" ht="16" x14ac:dyDescent="0.2">
      <c r="A23" s="4" t="s">
        <v>35</v>
      </c>
      <c r="B23" s="5" t="s">
        <v>36</v>
      </c>
      <c r="C23" s="5" t="s">
        <v>29</v>
      </c>
      <c r="D23" s="4" t="s">
        <v>37</v>
      </c>
      <c r="E23" s="5" t="s">
        <v>38</v>
      </c>
      <c r="F23" s="5">
        <v>4</v>
      </c>
      <c r="G23" s="5" t="str">
        <f t="shared" si="0"/>
        <v>ANGE4</v>
      </c>
      <c r="H23" s="6">
        <v>1.5371152919298154</v>
      </c>
      <c r="I23" s="6">
        <v>-1.281313955096395</v>
      </c>
      <c r="J23" s="6">
        <v>-1.7376843987961248</v>
      </c>
      <c r="K23" s="6">
        <v>48.373960192181556</v>
      </c>
      <c r="L23" s="6">
        <v>86.441382157843563</v>
      </c>
      <c r="M23" s="6">
        <v>73.736862458113492</v>
      </c>
      <c r="N23" s="6">
        <v>10.201773133267356</v>
      </c>
      <c r="O23" s="6">
        <v>5.2667714588839294</v>
      </c>
      <c r="P23" s="6">
        <v>7.3341208783116923E-2</v>
      </c>
      <c r="Q23" s="6">
        <v>0.15544027589680154</v>
      </c>
      <c r="R23" s="6">
        <v>0.14206243410522043</v>
      </c>
      <c r="S23" s="6">
        <v>0.30108890101863289</v>
      </c>
    </row>
    <row r="24" spans="1:19" ht="16" x14ac:dyDescent="0.2">
      <c r="A24" s="4" t="s">
        <v>35</v>
      </c>
      <c r="B24" s="5" t="s">
        <v>36</v>
      </c>
      <c r="C24" s="5" t="s">
        <v>29</v>
      </c>
      <c r="D24" s="4" t="s">
        <v>37</v>
      </c>
      <c r="E24" s="5" t="s">
        <v>38</v>
      </c>
      <c r="F24" s="5">
        <v>5</v>
      </c>
      <c r="G24" s="5" t="str">
        <f t="shared" si="0"/>
        <v>ANGE5</v>
      </c>
      <c r="H24" s="6">
        <v>1.5913228588466097</v>
      </c>
      <c r="I24" s="6">
        <v>-1.3503286360216928</v>
      </c>
      <c r="J24" s="6">
        <v>-1.7553239975632211</v>
      </c>
      <c r="K24" s="6">
        <v>42.088806063149512</v>
      </c>
      <c r="L24" s="6">
        <v>86.638498101595289</v>
      </c>
      <c r="M24" s="6">
        <v>76.927600710538229</v>
      </c>
      <c r="N24" s="6">
        <v>10.567965999735549</v>
      </c>
      <c r="O24" s="6">
        <v>6.1200352852872681</v>
      </c>
      <c r="P24" s="6">
        <v>7.3161807913408552E-2</v>
      </c>
      <c r="Q24" s="6">
        <v>0.18323143704571479</v>
      </c>
      <c r="R24" s="6">
        <v>0.12633448378423734</v>
      </c>
      <c r="S24" s="6">
        <v>0.31640072426329063</v>
      </c>
    </row>
    <row r="25" spans="1:19" ht="16" x14ac:dyDescent="0.2">
      <c r="A25" s="4" t="s">
        <v>39</v>
      </c>
      <c r="B25" s="5" t="s">
        <v>40</v>
      </c>
      <c r="C25" s="5" t="s">
        <v>29</v>
      </c>
      <c r="D25" s="4" t="s">
        <v>41</v>
      </c>
      <c r="E25" s="5" t="s">
        <v>42</v>
      </c>
      <c r="F25" s="5">
        <v>1</v>
      </c>
      <c r="G25" s="5" t="str">
        <f t="shared" si="0"/>
        <v>ARBA1</v>
      </c>
      <c r="H25" s="6">
        <v>1.1993246156315516</v>
      </c>
      <c r="I25" s="6">
        <v>-2.0460469326193933</v>
      </c>
      <c r="J25" s="6">
        <v>-2.6256750025742535</v>
      </c>
      <c r="K25" s="6">
        <v>50.544666671444652</v>
      </c>
      <c r="L25" s="6">
        <v>89.082540916868808</v>
      </c>
      <c r="M25" s="6">
        <v>77.924607219607012</v>
      </c>
      <c r="N25" s="6">
        <v>19.756349171937345</v>
      </c>
      <c r="O25" s="6">
        <v>9.7705683365349003</v>
      </c>
      <c r="P25" s="6">
        <v>4.004840834274194E-2</v>
      </c>
      <c r="Q25" s="6">
        <v>0.11797746262687703</v>
      </c>
      <c r="R25" s="6">
        <v>8.0978947359794884E-2</v>
      </c>
      <c r="S25" s="6">
        <v>0.23855356881955792</v>
      </c>
    </row>
    <row r="26" spans="1:19" ht="16" x14ac:dyDescent="0.2">
      <c r="A26" s="4" t="s">
        <v>39</v>
      </c>
      <c r="B26" s="5" t="s">
        <v>40</v>
      </c>
      <c r="C26" s="5" t="s">
        <v>29</v>
      </c>
      <c r="D26" s="4" t="s">
        <v>41</v>
      </c>
      <c r="E26" s="5" t="s">
        <v>42</v>
      </c>
      <c r="F26" s="5">
        <v>2</v>
      </c>
      <c r="G26" s="5" t="str">
        <f t="shared" si="0"/>
        <v>ARBA2</v>
      </c>
      <c r="H26" s="6">
        <v>1.9293121797863124</v>
      </c>
      <c r="I26" s="6">
        <v>-1.6330346498435153</v>
      </c>
      <c r="J26" s="6">
        <v>-1.9757854016215384</v>
      </c>
      <c r="K26" s="6">
        <v>18.007003354744583</v>
      </c>
      <c r="L26" s="6">
        <v>85.776207670311877</v>
      </c>
      <c r="M26" s="6">
        <v>82.652430193242381</v>
      </c>
      <c r="N26" s="6">
        <v>11.916113026727368</v>
      </c>
      <c r="O26" s="6">
        <v>9.7703781542494212</v>
      </c>
      <c r="P26" s="6">
        <v>7.0141799453047854E-2</v>
      </c>
      <c r="Q26" s="6">
        <v>0.24897982738988586</v>
      </c>
      <c r="R26" s="6">
        <v>8.5546086035271904E-2</v>
      </c>
      <c r="S26" s="6">
        <v>0.30365987044857262</v>
      </c>
    </row>
    <row r="27" spans="1:19" ht="16" x14ac:dyDescent="0.2">
      <c r="A27" s="4" t="s">
        <v>39</v>
      </c>
      <c r="B27" s="5" t="s">
        <v>40</v>
      </c>
      <c r="C27" s="5" t="s">
        <v>29</v>
      </c>
      <c r="D27" s="4" t="s">
        <v>41</v>
      </c>
      <c r="E27" s="5" t="s">
        <v>42</v>
      </c>
      <c r="F27" s="5">
        <v>3</v>
      </c>
      <c r="G27" s="5" t="str">
        <f t="shared" si="0"/>
        <v>ARBA3</v>
      </c>
      <c r="H27" s="6">
        <v>1.3504495744788003</v>
      </c>
      <c r="I27" s="6">
        <v>-1.8798710263040772</v>
      </c>
      <c r="J27" s="6">
        <v>-2.3565468781243477</v>
      </c>
      <c r="K27" s="6">
        <v>35.419747446677775</v>
      </c>
      <c r="L27" s="6">
        <v>86.936883292079926</v>
      </c>
      <c r="M27" s="6">
        <v>79.772273734708293</v>
      </c>
      <c r="N27" s="6">
        <v>15.492006923305437</v>
      </c>
      <c r="O27" s="6">
        <v>10.004777196648817</v>
      </c>
      <c r="P27" s="6">
        <v>5.2411675263741235E-2</v>
      </c>
      <c r="Q27" s="6">
        <v>0.17831885637660089</v>
      </c>
      <c r="R27" s="6">
        <v>8.1157433103046905E-2</v>
      </c>
      <c r="S27" s="6">
        <v>0.2761197879016774</v>
      </c>
    </row>
    <row r="28" spans="1:19" ht="16" x14ac:dyDescent="0.2">
      <c r="A28" s="4" t="s">
        <v>39</v>
      </c>
      <c r="B28" s="5" t="s">
        <v>40</v>
      </c>
      <c r="C28" s="5" t="s">
        <v>29</v>
      </c>
      <c r="D28" s="4" t="s">
        <v>41</v>
      </c>
      <c r="E28" s="5" t="s">
        <v>42</v>
      </c>
      <c r="F28" s="5">
        <v>4</v>
      </c>
      <c r="G28" s="5" t="str">
        <f t="shared" si="0"/>
        <v>ARBA4</v>
      </c>
      <c r="H28" s="6">
        <v>1.6008573488365538</v>
      </c>
      <c r="I28" s="6">
        <v>-1.8890007475984854</v>
      </c>
      <c r="J28" s="6">
        <v>-2.2110583496850307</v>
      </c>
      <c r="K28" s="6">
        <v>22.393006763594158</v>
      </c>
      <c r="L28" s="6">
        <v>88.695946377704573</v>
      </c>
      <c r="M28" s="6">
        <v>85.434233242536394</v>
      </c>
      <c r="N28" s="6">
        <v>17.663073679941146</v>
      </c>
      <c r="O28" s="6">
        <v>13.707780396133312</v>
      </c>
      <c r="P28" s="6">
        <v>4.8760183560206866E-2</v>
      </c>
      <c r="Q28" s="6">
        <v>0.22004440710858669</v>
      </c>
      <c r="R28" s="6">
        <v>6.2829625948365164E-2</v>
      </c>
      <c r="S28" s="6">
        <v>0.28353682823181658</v>
      </c>
    </row>
    <row r="29" spans="1:19" ht="16" x14ac:dyDescent="0.2">
      <c r="A29" s="4" t="s">
        <v>39</v>
      </c>
      <c r="B29" s="5" t="s">
        <v>40</v>
      </c>
      <c r="C29" s="5" t="s">
        <v>29</v>
      </c>
      <c r="D29" s="4" t="s">
        <v>41</v>
      </c>
      <c r="E29" s="5" t="s">
        <v>42</v>
      </c>
      <c r="F29" s="5">
        <v>5</v>
      </c>
      <c r="G29" s="5" t="str">
        <f t="shared" si="0"/>
        <v>ARBA5</v>
      </c>
      <c r="H29" s="6">
        <v>1.4709305017507699</v>
      </c>
      <c r="I29" s="6">
        <v>-2.0919293817975579</v>
      </c>
      <c r="J29" s="6">
        <v>-2.5305189409819691</v>
      </c>
      <c r="K29" s="6">
        <v>4.1656375877675202</v>
      </c>
      <c r="L29" s="6">
        <v>83.389987688142099</v>
      </c>
      <c r="M29" s="6">
        <v>82.667999354542815</v>
      </c>
      <c r="N29" s="6">
        <v>13.130263903070393</v>
      </c>
      <c r="O29" s="6">
        <v>12.583304694551021</v>
      </c>
      <c r="P29" s="6">
        <v>6.3467621085945544E-2</v>
      </c>
      <c r="Q29" s="6">
        <v>0.27649033529466571</v>
      </c>
      <c r="R29" s="6">
        <v>6.6226371719299321E-2</v>
      </c>
      <c r="S29" s="6">
        <v>0.28850855615373083</v>
      </c>
    </row>
    <row r="30" spans="1:19" ht="16" x14ac:dyDescent="0.2">
      <c r="A30" s="4" t="s">
        <v>39</v>
      </c>
      <c r="B30" s="5" t="s">
        <v>40</v>
      </c>
      <c r="C30" s="5" t="s">
        <v>29</v>
      </c>
      <c r="D30" s="4" t="s">
        <v>41</v>
      </c>
      <c r="E30" s="5" t="s">
        <v>42</v>
      </c>
      <c r="F30" s="5">
        <v>6</v>
      </c>
      <c r="G30" s="5" t="str">
        <f t="shared" si="0"/>
        <v>ARBA6</v>
      </c>
      <c r="H30" s="6">
        <v>1.5359084586542429</v>
      </c>
      <c r="I30" s="6">
        <v>-1.878712308020636</v>
      </c>
      <c r="J30" s="6">
        <v>-2.2746252003598704</v>
      </c>
      <c r="K30" s="6">
        <v>18.507924652318351</v>
      </c>
      <c r="L30" s="6">
        <v>85.815789234849333</v>
      </c>
      <c r="M30" s="6">
        <v>82.594367974266831</v>
      </c>
      <c r="N30" s="6">
        <v>14.07920046983984</v>
      </c>
      <c r="O30" s="6">
        <v>11.473432655233028</v>
      </c>
      <c r="P30" s="6">
        <v>5.9436863001760723E-2</v>
      </c>
      <c r="Q30" s="6">
        <v>0.24281296486062881</v>
      </c>
      <c r="R30" s="6">
        <v>7.2935758168112028E-2</v>
      </c>
      <c r="S30" s="6">
        <v>0.29795899027565576</v>
      </c>
    </row>
    <row r="31" spans="1:19" ht="16" x14ac:dyDescent="0.2">
      <c r="A31" s="10" t="s">
        <v>43</v>
      </c>
      <c r="B31" s="11" t="s">
        <v>44</v>
      </c>
      <c r="C31" s="11" t="s">
        <v>29</v>
      </c>
      <c r="D31" s="10" t="s">
        <v>25</v>
      </c>
      <c r="E31" s="8" t="s">
        <v>45</v>
      </c>
      <c r="F31" s="8">
        <v>1</v>
      </c>
      <c r="G31" s="5" t="str">
        <f t="shared" si="0"/>
        <v>BACCRA1</v>
      </c>
      <c r="H31" s="12">
        <v>6.2853540069968084</v>
      </c>
      <c r="I31" s="13">
        <v>-0.6648902185259945</v>
      </c>
      <c r="J31" s="13">
        <v>-1.0209985370146755</v>
      </c>
      <c r="K31" s="9">
        <v>0.12413652152346044</v>
      </c>
      <c r="L31" s="13">
        <v>69.451251961838565</v>
      </c>
      <c r="M31" s="9">
        <f>(L31-K31/100)/(1-K31/100)</f>
        <v>69.536330578598665</v>
      </c>
      <c r="N31" s="13">
        <v>2.8150036693150979</v>
      </c>
      <c r="O31" s="9">
        <f>N31/(1-K31)</f>
        <v>3.2139753951283163</v>
      </c>
      <c r="P31" s="13">
        <v>0.25290487872323214</v>
      </c>
      <c r="Q31" s="13">
        <v>0.33801422423674599</v>
      </c>
      <c r="R31" s="12">
        <v>3.8407132499975232</v>
      </c>
      <c r="S31" s="9"/>
    </row>
    <row r="32" spans="1:19" ht="16" x14ac:dyDescent="0.2">
      <c r="A32" s="10" t="s">
        <v>43</v>
      </c>
      <c r="B32" s="11" t="s">
        <v>44</v>
      </c>
      <c r="C32" s="11" t="s">
        <v>29</v>
      </c>
      <c r="D32" s="10" t="s">
        <v>25</v>
      </c>
      <c r="E32" s="8" t="s">
        <v>45</v>
      </c>
      <c r="F32" s="8">
        <v>2</v>
      </c>
      <c r="G32" s="5" t="str">
        <f t="shared" si="0"/>
        <v>BACCRA2</v>
      </c>
      <c r="H32" s="9">
        <v>3.3411409870014706</v>
      </c>
      <c r="I32" s="9">
        <v>-0.86323496915721132</v>
      </c>
      <c r="J32" s="9">
        <v>-1.0280524255920862</v>
      </c>
      <c r="K32" s="9">
        <v>-1.0136448902143713</v>
      </c>
      <c r="L32" s="9">
        <v>67.241633987346347</v>
      </c>
      <c r="M32" s="9">
        <f>(L32-K32/100)/(1-K32/100)</f>
        <v>66.576916919828392</v>
      </c>
      <c r="N32" s="9">
        <v>2.7506823779464162</v>
      </c>
      <c r="O32" s="9">
        <f>N32/(1-K32)</f>
        <v>1.3660215817167149</v>
      </c>
      <c r="P32" s="9">
        <v>0.30625583955165747</v>
      </c>
      <c r="Q32" s="9">
        <v>1.0607586364692234</v>
      </c>
      <c r="R32" s="12">
        <v>3.3425450536551109</v>
      </c>
      <c r="S32" s="9"/>
    </row>
    <row r="33" spans="1:19" ht="16" x14ac:dyDescent="0.2">
      <c r="A33" s="10" t="s">
        <v>43</v>
      </c>
      <c r="B33" s="11" t="s">
        <v>44</v>
      </c>
      <c r="C33" s="11" t="s">
        <v>29</v>
      </c>
      <c r="D33" s="10" t="s">
        <v>25</v>
      </c>
      <c r="E33" s="8" t="s">
        <v>45</v>
      </c>
      <c r="F33" s="8">
        <v>3</v>
      </c>
      <c r="G33" s="5" t="str">
        <f t="shared" si="0"/>
        <v>BACCRA3</v>
      </c>
      <c r="H33" s="12">
        <v>3.2561070019105753</v>
      </c>
      <c r="I33" s="13">
        <v>-0.77742322382114226</v>
      </c>
      <c r="J33" s="13">
        <v>-1.0938404770119587</v>
      </c>
      <c r="K33" s="9">
        <v>-0.4348446911855719</v>
      </c>
      <c r="L33" s="13">
        <v>58.493982853827035</v>
      </c>
      <c r="M33" s="9">
        <f>(L33-K33/100)/(1-K33/100)</f>
        <v>58.245055767854296</v>
      </c>
      <c r="N33" s="13">
        <v>1.8697027552271515</v>
      </c>
      <c r="O33" s="9">
        <f>N33/(1-K33)</f>
        <v>1.3030697794074622</v>
      </c>
      <c r="P33" s="13">
        <v>0.36612615604937582</v>
      </c>
      <c r="Q33" s="13">
        <v>0.67415801545924814</v>
      </c>
      <c r="R33" s="12">
        <v>6.116408250120112</v>
      </c>
      <c r="S33" s="9"/>
    </row>
    <row r="34" spans="1:19" ht="16" x14ac:dyDescent="0.2">
      <c r="A34" s="10" t="s">
        <v>43</v>
      </c>
      <c r="B34" s="11" t="s">
        <v>44</v>
      </c>
      <c r="C34" s="11" t="s">
        <v>29</v>
      </c>
      <c r="D34" s="10" t="s">
        <v>25</v>
      </c>
      <c r="E34" s="8" t="s">
        <v>45</v>
      </c>
      <c r="F34" s="8">
        <v>4</v>
      </c>
      <c r="G34" s="5" t="str">
        <f t="shared" si="0"/>
        <v>BACCRA4</v>
      </c>
      <c r="H34" s="9">
        <v>5.0117564491236619</v>
      </c>
      <c r="I34" s="9">
        <v>-0.77477225241361303</v>
      </c>
      <c r="J34" s="9">
        <v>-0.91895599437637632</v>
      </c>
      <c r="K34" s="9">
        <v>4.1409121300997942E-2</v>
      </c>
      <c r="L34" s="9">
        <v>84.959756424899339</v>
      </c>
      <c r="M34" s="9">
        <f>(L34-K34/100)/(1-K34/100)</f>
        <v>84.994537824953483</v>
      </c>
      <c r="N34" s="9">
        <v>6.0989747175570432</v>
      </c>
      <c r="O34" s="9">
        <f>N34/(1-K34)</f>
        <v>6.3624376708388475</v>
      </c>
      <c r="P34" s="9">
        <v>0.14384154354260306</v>
      </c>
      <c r="Q34" s="9">
        <v>0.6077588653094288</v>
      </c>
      <c r="R34" s="9">
        <v>1.9155976258465734</v>
      </c>
      <c r="S34" s="9"/>
    </row>
    <row r="35" spans="1:19" ht="16" x14ac:dyDescent="0.2">
      <c r="A35" s="10" t="s">
        <v>43</v>
      </c>
      <c r="B35" s="11" t="s">
        <v>44</v>
      </c>
      <c r="C35" s="11" t="s">
        <v>29</v>
      </c>
      <c r="D35" s="10" t="s">
        <v>25</v>
      </c>
      <c r="E35" s="8" t="s">
        <v>45</v>
      </c>
      <c r="F35" s="8">
        <v>5</v>
      </c>
      <c r="G35" s="5" t="str">
        <f t="shared" si="0"/>
        <v>BACCRA5</v>
      </c>
      <c r="H35" s="9">
        <v>3.9435918684786984</v>
      </c>
      <c r="I35" s="9">
        <v>-1.0728571130300264</v>
      </c>
      <c r="J35" s="9">
        <v>-1.5029533033102225</v>
      </c>
      <c r="K35" s="9">
        <v>-0.4360455939866057</v>
      </c>
      <c r="L35" s="9">
        <v>58.905061276224181</v>
      </c>
      <c r="M35" s="9">
        <f>(L35-K35/100)/(1-K35/100)</f>
        <v>58.653665010175516</v>
      </c>
      <c r="N35" s="9">
        <v>2.6921107762793155</v>
      </c>
      <c r="O35" s="9">
        <f>N35/(1-K35)</f>
        <v>1.8746694307983269</v>
      </c>
      <c r="P35" s="9">
        <v>0.26014866133429182</v>
      </c>
      <c r="Q35" s="9">
        <v>0.47882947529675585</v>
      </c>
      <c r="R35" s="9">
        <v>4.1345702637042825</v>
      </c>
      <c r="S35" s="9"/>
    </row>
    <row r="36" spans="1:19" ht="16" x14ac:dyDescent="0.2">
      <c r="A36" s="7" t="s">
        <v>46</v>
      </c>
      <c r="B36" s="8" t="s">
        <v>47</v>
      </c>
      <c r="C36" s="8" t="s">
        <v>24</v>
      </c>
      <c r="D36" s="7" t="s">
        <v>30</v>
      </c>
      <c r="E36" s="8" t="s">
        <v>48</v>
      </c>
      <c r="F36" s="8">
        <v>1</v>
      </c>
      <c r="G36" s="5" t="str">
        <f t="shared" si="0"/>
        <v>BAGA1</v>
      </c>
      <c r="H36" s="9">
        <v>1.5482483271346466</v>
      </c>
      <c r="I36" s="9">
        <v>-0.99570140862093182</v>
      </c>
      <c r="J36" s="9">
        <v>-1.2578352369256673</v>
      </c>
      <c r="K36" s="9">
        <v>9.7341436131458181</v>
      </c>
      <c r="L36" s="9">
        <v>81.188526282882421</v>
      </c>
      <c r="M36" s="9">
        <v>79.159923286500629</v>
      </c>
      <c r="N36" s="9">
        <v>5.1493448079081796</v>
      </c>
      <c r="O36" s="9">
        <v>4.6481001891703277</v>
      </c>
      <c r="P36" s="9">
        <v>0.15005542041235567</v>
      </c>
      <c r="Q36" s="9">
        <v>0.42754865997497493</v>
      </c>
      <c r="R36" s="9">
        <v>0.16623718692620632</v>
      </c>
      <c r="S36" s="9">
        <v>0.47365490905290392</v>
      </c>
    </row>
    <row r="37" spans="1:19" ht="16" x14ac:dyDescent="0.2">
      <c r="A37" s="7" t="s">
        <v>46</v>
      </c>
      <c r="B37" s="8" t="s">
        <v>47</v>
      </c>
      <c r="C37" s="8" t="s">
        <v>24</v>
      </c>
      <c r="D37" s="7" t="s">
        <v>30</v>
      </c>
      <c r="E37" s="8" t="s">
        <v>48</v>
      </c>
      <c r="F37" s="8">
        <v>2</v>
      </c>
      <c r="G37" s="5" t="str">
        <f t="shared" si="0"/>
        <v>BAGA2</v>
      </c>
      <c r="H37" s="9">
        <v>2.1651942697885809</v>
      </c>
      <c r="I37" s="9">
        <v>-1.2345072237573256</v>
      </c>
      <c r="J37" s="9">
        <v>-1.4060652132861704</v>
      </c>
      <c r="K37" s="9">
        <v>2.8466740842245883</v>
      </c>
      <c r="L37" s="9">
        <v>88.146048197012888</v>
      </c>
      <c r="M37" s="9">
        <v>87.798717448681487</v>
      </c>
      <c r="N37" s="9">
        <v>10.564751933705816</v>
      </c>
      <c r="O37" s="9">
        <v>10.264007878346399</v>
      </c>
      <c r="P37" s="9">
        <v>8.3146852856245471E-2</v>
      </c>
      <c r="Q37" s="9">
        <v>0.37112946231089011</v>
      </c>
      <c r="R37" s="9">
        <v>8.5583125510625843E-2</v>
      </c>
      <c r="S37" s="9">
        <v>0.3820038674050471</v>
      </c>
    </row>
    <row r="38" spans="1:19" ht="16" x14ac:dyDescent="0.2">
      <c r="A38" s="7" t="s">
        <v>46</v>
      </c>
      <c r="B38" s="8" t="s">
        <v>47</v>
      </c>
      <c r="C38" s="8" t="s">
        <v>24</v>
      </c>
      <c r="D38" s="7" t="s">
        <v>30</v>
      </c>
      <c r="E38" s="8" t="s">
        <v>48</v>
      </c>
      <c r="F38" s="8">
        <v>3</v>
      </c>
      <c r="G38" s="5" t="str">
        <f t="shared" si="0"/>
        <v>BAGA3</v>
      </c>
      <c r="H38" s="9">
        <v>2.2610296522992375</v>
      </c>
      <c r="I38" s="9">
        <v>-1.1460634656323796</v>
      </c>
      <c r="J38" s="9">
        <v>-1.4227574890347794</v>
      </c>
      <c r="K38" s="9">
        <v>-1.205406280683917</v>
      </c>
      <c r="L38" s="9">
        <v>80.317846667688556</v>
      </c>
      <c r="M38" s="9">
        <v>80.552270816714284</v>
      </c>
      <c r="N38" s="9">
        <v>6.7364961835931059</v>
      </c>
      <c r="O38" s="9">
        <v>6.8176983316881703</v>
      </c>
      <c r="P38" s="9">
        <v>0.1239492201282112</v>
      </c>
      <c r="Q38" s="9">
        <v>0.34581613841902897</v>
      </c>
      <c r="R38" s="9">
        <v>0.12247292381243882</v>
      </c>
      <c r="S38" s="9">
        <v>0.34169729773124713</v>
      </c>
    </row>
    <row r="39" spans="1:19" ht="16" x14ac:dyDescent="0.2">
      <c r="A39" s="7" t="s">
        <v>46</v>
      </c>
      <c r="B39" s="8" t="s">
        <v>47</v>
      </c>
      <c r="C39" s="8" t="s">
        <v>24</v>
      </c>
      <c r="D39" s="7" t="s">
        <v>30</v>
      </c>
      <c r="E39" s="8" t="s">
        <v>48</v>
      </c>
      <c r="F39" s="8">
        <v>4</v>
      </c>
      <c r="G39" s="5" t="str">
        <f t="shared" si="0"/>
        <v>BAGA4</v>
      </c>
      <c r="H39" s="9">
        <v>3.3399593145382847</v>
      </c>
      <c r="I39" s="9">
        <v>-1.0721516412428422</v>
      </c>
      <c r="J39" s="9">
        <v>-1.339358835858764</v>
      </c>
      <c r="K39" s="9">
        <v>3.8727543817942802</v>
      </c>
      <c r="L39" s="9">
        <v>80.82224797410079</v>
      </c>
      <c r="M39" s="9">
        <v>80.049618708447539</v>
      </c>
      <c r="N39" s="9">
        <v>6.5312717630521204</v>
      </c>
      <c r="O39" s="9">
        <v>6.2783316496616317</v>
      </c>
      <c r="P39" s="9">
        <v>0.12665358180594252</v>
      </c>
      <c r="Q39" s="9">
        <v>0.3285600098641755</v>
      </c>
      <c r="R39" s="9">
        <v>0.13175617484035687</v>
      </c>
      <c r="S39" s="9">
        <v>0.34179696687569328</v>
      </c>
    </row>
    <row r="40" spans="1:19" ht="16" x14ac:dyDescent="0.2">
      <c r="A40" s="7" t="s">
        <v>46</v>
      </c>
      <c r="B40" s="8" t="s">
        <v>47</v>
      </c>
      <c r="C40" s="8" t="s">
        <v>24</v>
      </c>
      <c r="D40" s="7" t="s">
        <v>30</v>
      </c>
      <c r="E40" s="8" t="s">
        <v>48</v>
      </c>
      <c r="F40" s="8">
        <v>5</v>
      </c>
      <c r="G40" s="5" t="str">
        <f t="shared" si="0"/>
        <v>BAGA5</v>
      </c>
      <c r="H40" s="9">
        <v>2.0817536454448149</v>
      </c>
      <c r="I40" s="9">
        <v>-1.4425598357872302</v>
      </c>
      <c r="J40" s="9">
        <v>-1.6359921926775907</v>
      </c>
      <c r="K40" s="9">
        <v>12.355812181302653</v>
      </c>
      <c r="L40" s="9">
        <v>89.637345524390867</v>
      </c>
      <c r="M40" s="9">
        <v>88.176449878176129</v>
      </c>
      <c r="N40" s="9">
        <v>13.949051742868155</v>
      </c>
      <c r="O40" s="9">
        <v>12.225533108446641</v>
      </c>
      <c r="P40" s="9">
        <v>6.3188580623354224E-2</v>
      </c>
      <c r="Q40" s="9">
        <v>0.28477196824177359</v>
      </c>
      <c r="R40" s="9">
        <v>7.2096715362423666E-2</v>
      </c>
      <c r="S40" s="9">
        <v>0.32491825793497753</v>
      </c>
    </row>
    <row r="41" spans="1:19" ht="16" x14ac:dyDescent="0.2">
      <c r="A41" s="7" t="s">
        <v>46</v>
      </c>
      <c r="B41" s="8" t="s">
        <v>47</v>
      </c>
      <c r="C41" s="8" t="s">
        <v>24</v>
      </c>
      <c r="D41" s="7" t="s">
        <v>30</v>
      </c>
      <c r="E41" s="8" t="s">
        <v>48</v>
      </c>
      <c r="F41" s="8">
        <v>6</v>
      </c>
      <c r="G41" s="5" t="str">
        <f t="shared" si="0"/>
        <v>BAGA6</v>
      </c>
      <c r="H41" s="9">
        <v>2.6995460722127262</v>
      </c>
      <c r="I41" s="9">
        <v>-1.0440064999932193</v>
      </c>
      <c r="J41" s="9">
        <v>-1.3905940618024144</v>
      </c>
      <c r="K41" s="9">
        <v>-13.49358011289425</v>
      </c>
      <c r="L41" s="9">
        <v>71.713194890721709</v>
      </c>
      <c r="M41" s="9">
        <v>75.076294992949499</v>
      </c>
      <c r="N41" s="9">
        <v>4.4378395674593598</v>
      </c>
      <c r="O41" s="9">
        <v>5.0366630047762113</v>
      </c>
      <c r="P41" s="9">
        <v>0.17840053076771187</v>
      </c>
      <c r="Q41" s="9">
        <v>0.30736220373997231</v>
      </c>
      <c r="R41" s="9">
        <v>0.15718997549487235</v>
      </c>
      <c r="S41" s="9">
        <v>0.27081902204004288</v>
      </c>
    </row>
    <row r="42" spans="1:19" ht="16" x14ac:dyDescent="0.2">
      <c r="A42" s="7" t="s">
        <v>49</v>
      </c>
      <c r="B42" s="8" t="s">
        <v>33</v>
      </c>
      <c r="C42" s="5" t="s">
        <v>24</v>
      </c>
      <c r="D42" s="7" t="s">
        <v>25</v>
      </c>
      <c r="E42" s="8" t="s">
        <v>50</v>
      </c>
      <c r="F42" s="8">
        <v>1</v>
      </c>
      <c r="G42" s="5" t="str">
        <f t="shared" si="0"/>
        <v>BEOC1</v>
      </c>
      <c r="H42" s="9">
        <v>1.721202012474319</v>
      </c>
      <c r="I42" s="9">
        <v>-1.2753967774549908</v>
      </c>
      <c r="J42" s="9">
        <v>-1.6634696721592006</v>
      </c>
      <c r="K42" s="9">
        <v>53.462072406704799</v>
      </c>
      <c r="L42" s="9">
        <v>89.143109383399349</v>
      </c>
      <c r="M42" s="9">
        <v>76.670876469873519</v>
      </c>
      <c r="N42" s="9">
        <v>10.799410204332471</v>
      </c>
      <c r="O42" s="9">
        <v>5.0258217013951789</v>
      </c>
      <c r="P42" s="9">
        <v>6.8362927541973761E-2</v>
      </c>
      <c r="Q42" s="9">
        <v>0.12676923822911829</v>
      </c>
      <c r="R42" s="9">
        <v>0.14689723216601275</v>
      </c>
      <c r="S42" s="9">
        <v>0.27239983554270292</v>
      </c>
    </row>
    <row r="43" spans="1:19" ht="16" x14ac:dyDescent="0.2">
      <c r="A43" s="7" t="s">
        <v>49</v>
      </c>
      <c r="B43" s="8" t="s">
        <v>33</v>
      </c>
      <c r="C43" s="5" t="s">
        <v>24</v>
      </c>
      <c r="D43" s="7" t="s">
        <v>25</v>
      </c>
      <c r="E43" s="8" t="s">
        <v>50</v>
      </c>
      <c r="F43" s="8">
        <v>2</v>
      </c>
      <c r="G43" s="5" t="str">
        <f t="shared" si="0"/>
        <v>BEOC2</v>
      </c>
      <c r="H43" s="9">
        <v>1.8087033272647328</v>
      </c>
      <c r="I43" s="9">
        <v>-1.2643419738631567</v>
      </c>
      <c r="J43" s="9">
        <v>-1.9289429983524637</v>
      </c>
      <c r="K43" s="9">
        <v>60.660089853452185</v>
      </c>
      <c r="L43" s="9">
        <v>86.4457660962278</v>
      </c>
      <c r="M43" s="9">
        <v>65.545844275494289</v>
      </c>
      <c r="N43" s="9">
        <v>8.7175660996710338</v>
      </c>
      <c r="O43" s="9">
        <v>3.4294826705765096</v>
      </c>
      <c r="P43" s="9">
        <v>7.08844224275572E-2</v>
      </c>
      <c r="Q43" s="9">
        <v>8.8121405986298501E-2</v>
      </c>
      <c r="R43" s="9">
        <v>0.18018450515901155</v>
      </c>
      <c r="S43" s="9">
        <v>0.22400001844953632</v>
      </c>
    </row>
    <row r="44" spans="1:19" ht="16" x14ac:dyDescent="0.2">
      <c r="A44" s="7" t="s">
        <v>49</v>
      </c>
      <c r="B44" s="8" t="s">
        <v>33</v>
      </c>
      <c r="C44" s="5" t="s">
        <v>24</v>
      </c>
      <c r="D44" s="7" t="s">
        <v>25</v>
      </c>
      <c r="E44" s="8" t="s">
        <v>50</v>
      </c>
      <c r="F44" s="8">
        <v>3</v>
      </c>
      <c r="G44" s="5" t="str">
        <f t="shared" si="0"/>
        <v>BEOC3</v>
      </c>
      <c r="H44" s="9">
        <v>1.7832703520350992</v>
      </c>
      <c r="I44" s="9">
        <v>-1.4316137929591275</v>
      </c>
      <c r="J44" s="9">
        <v>-2.0650982007171885</v>
      </c>
      <c r="K44" s="9">
        <v>35.8911271730273</v>
      </c>
      <c r="L44" s="9">
        <v>80.334121001738552</v>
      </c>
      <c r="M44" s="9">
        <v>69.324247750636829</v>
      </c>
      <c r="N44" s="9">
        <v>7.3007131650887089</v>
      </c>
      <c r="O44" s="9">
        <v>4.680404918468775</v>
      </c>
      <c r="P44" s="9">
        <v>9.3884789108133998E-2</v>
      </c>
      <c r="Q44" s="9">
        <v>0.14794116233759413</v>
      </c>
      <c r="R44" s="9">
        <v>0.14644585837833288</v>
      </c>
      <c r="S44" s="9">
        <v>0.2307655022057262</v>
      </c>
    </row>
    <row r="45" spans="1:19" ht="16" x14ac:dyDescent="0.2">
      <c r="A45" s="7" t="s">
        <v>49</v>
      </c>
      <c r="B45" s="8" t="s">
        <v>33</v>
      </c>
      <c r="C45" s="5" t="s">
        <v>24</v>
      </c>
      <c r="D45" s="7" t="s">
        <v>25</v>
      </c>
      <c r="E45" s="8" t="s">
        <v>50</v>
      </c>
      <c r="F45" s="8">
        <v>4</v>
      </c>
      <c r="G45" s="5" t="str">
        <f t="shared" si="0"/>
        <v>BEOC4</v>
      </c>
      <c r="H45" s="9">
        <v>1.7570276740547206</v>
      </c>
      <c r="I45" s="9">
        <v>-1.188006939755063</v>
      </c>
      <c r="J45" s="9">
        <v>-1.6354615180809275</v>
      </c>
      <c r="K45" s="9">
        <v>51.862536034291885</v>
      </c>
      <c r="L45" s="9">
        <v>86.82981629202321</v>
      </c>
      <c r="M45" s="9">
        <v>72.640470388388366</v>
      </c>
      <c r="N45" s="9">
        <v>8.7418382312218146</v>
      </c>
      <c r="O45" s="9">
        <v>4.2080992284948957</v>
      </c>
      <c r="P45" s="9">
        <v>8.0804055976621922E-2</v>
      </c>
      <c r="Q45" s="9">
        <v>0.12131457242482525</v>
      </c>
      <c r="R45" s="9">
        <v>0.16786105731324913</v>
      </c>
      <c r="S45" s="9">
        <v>0.25201695816640124</v>
      </c>
    </row>
    <row r="46" spans="1:19" ht="16" x14ac:dyDescent="0.2">
      <c r="A46" s="7" t="s">
        <v>49</v>
      </c>
      <c r="B46" s="8" t="s">
        <v>33</v>
      </c>
      <c r="C46" s="5" t="s">
        <v>24</v>
      </c>
      <c r="D46" s="7" t="s">
        <v>25</v>
      </c>
      <c r="E46" s="8" t="s">
        <v>50</v>
      </c>
      <c r="F46" s="8">
        <v>5</v>
      </c>
      <c r="G46" s="5" t="str">
        <f t="shared" si="0"/>
        <v>BEOC5</v>
      </c>
      <c r="H46" s="9">
        <v>2.2153688170408739</v>
      </c>
      <c r="I46" s="9">
        <v>-1.2034449429128362</v>
      </c>
      <c r="J46" s="9">
        <v>-1.5485450994905692</v>
      </c>
      <c r="K46" s="9">
        <v>43.314559663983694</v>
      </c>
      <c r="L46" s="9">
        <v>87.367397732185907</v>
      </c>
      <c r="M46" s="9">
        <v>77.714555637335877</v>
      </c>
      <c r="N46" s="9">
        <v>8.8921957898551778</v>
      </c>
      <c r="O46" s="9">
        <v>5.0405803390201145</v>
      </c>
      <c r="P46" s="9">
        <v>8.5618060258049272E-2</v>
      </c>
      <c r="Q46" s="9">
        <v>0.15352607644854763</v>
      </c>
      <c r="R46" s="9">
        <v>0.15104065479694251</v>
      </c>
      <c r="S46" s="9">
        <v>0.27083864134861724</v>
      </c>
    </row>
    <row r="47" spans="1:19" ht="16" x14ac:dyDescent="0.2">
      <c r="A47" s="4" t="s">
        <v>51</v>
      </c>
      <c r="B47" s="5" t="s">
        <v>52</v>
      </c>
      <c r="C47" s="5" t="s">
        <v>29</v>
      </c>
      <c r="D47" s="4" t="s">
        <v>25</v>
      </c>
      <c r="E47" s="5" t="s">
        <v>53</v>
      </c>
      <c r="F47" s="5">
        <v>1</v>
      </c>
      <c r="G47" s="5" t="str">
        <f t="shared" si="0"/>
        <v>CASA1</v>
      </c>
      <c r="H47" s="6">
        <v>1.8785260047565517</v>
      </c>
      <c r="I47" s="6">
        <v>-1.5595290719938546</v>
      </c>
      <c r="J47" s="6">
        <v>-2.1984563900962986</v>
      </c>
      <c r="K47" s="6">
        <v>5.2184718413378022</v>
      </c>
      <c r="L47" s="6">
        <v>72.454078295629657</v>
      </c>
      <c r="M47" s="6">
        <v>70.9374577098408</v>
      </c>
      <c r="N47" s="6">
        <v>6.3698131091418126</v>
      </c>
      <c r="O47" s="6">
        <v>6.037406205695401</v>
      </c>
      <c r="P47" s="6">
        <v>0.11570891674836352</v>
      </c>
      <c r="Q47" s="6">
        <v>0.12207960664515703</v>
      </c>
      <c r="R47" s="6">
        <v>0.21576181423990545</v>
      </c>
      <c r="S47" s="6">
        <v>0.22764120650041192</v>
      </c>
    </row>
    <row r="48" spans="1:19" ht="16" x14ac:dyDescent="0.2">
      <c r="A48" s="4" t="s">
        <v>51</v>
      </c>
      <c r="B48" s="5" t="s">
        <v>52</v>
      </c>
      <c r="C48" s="5" t="s">
        <v>29</v>
      </c>
      <c r="D48" s="4" t="s">
        <v>25</v>
      </c>
      <c r="E48" s="5" t="s">
        <v>53</v>
      </c>
      <c r="F48" s="5">
        <v>3</v>
      </c>
      <c r="G48" s="5" t="str">
        <f t="shared" si="0"/>
        <v>CASA3</v>
      </c>
      <c r="H48" s="6">
        <v>1.6759633777313179</v>
      </c>
      <c r="I48" s="6">
        <v>-2.1648397652929785</v>
      </c>
      <c r="J48" s="6">
        <v>-2.7352142273439624</v>
      </c>
      <c r="K48" s="6">
        <v>-62.095882202867131</v>
      </c>
      <c r="L48" s="6">
        <v>66.198131507264435</v>
      </c>
      <c r="M48" s="6">
        <v>79.146991253959385</v>
      </c>
      <c r="N48" s="6">
        <v>6.6042352596825342</v>
      </c>
      <c r="O48" s="6">
        <v>10.705193406935278</v>
      </c>
      <c r="P48" s="6">
        <v>0.12197529023940998</v>
      </c>
      <c r="Q48" s="6">
        <v>0.40752582172512586</v>
      </c>
      <c r="R48" s="6">
        <v>7.5248851841130726E-2</v>
      </c>
      <c r="S48" s="6">
        <v>0.25141034811427143</v>
      </c>
    </row>
    <row r="49" spans="1:19" ht="16" x14ac:dyDescent="0.2">
      <c r="A49" s="4" t="s">
        <v>51</v>
      </c>
      <c r="B49" s="5" t="s">
        <v>52</v>
      </c>
      <c r="C49" s="5" t="s">
        <v>29</v>
      </c>
      <c r="D49" s="4" t="s">
        <v>25</v>
      </c>
      <c r="E49" s="5" t="s">
        <v>53</v>
      </c>
      <c r="F49" s="5">
        <v>4</v>
      </c>
      <c r="G49" s="5" t="str">
        <f t="shared" si="0"/>
        <v>CASA4</v>
      </c>
      <c r="H49" s="6">
        <v>1.7438491275821018</v>
      </c>
      <c r="I49" s="6">
        <v>-1.6162852999455821</v>
      </c>
      <c r="J49" s="6">
        <v>-2.0844318193691369</v>
      </c>
      <c r="K49" s="6">
        <v>4.9409439654589846</v>
      </c>
      <c r="L49" s="6">
        <v>78.65050523181533</v>
      </c>
      <c r="M49" s="6">
        <v>77.540809199254994</v>
      </c>
      <c r="N49" s="6">
        <v>7.745399551419613</v>
      </c>
      <c r="O49" s="6">
        <v>7.3627036996830606</v>
      </c>
      <c r="P49" s="6">
        <v>0.10043527418386598</v>
      </c>
      <c r="Q49" s="6">
        <v>0.28203888040698782</v>
      </c>
      <c r="R49" s="6">
        <v>0.10565566120009799</v>
      </c>
      <c r="S49" s="6">
        <v>0.29669859156239281</v>
      </c>
    </row>
    <row r="50" spans="1:19" ht="16" x14ac:dyDescent="0.2">
      <c r="A50" s="4" t="s">
        <v>51</v>
      </c>
      <c r="B50" s="5" t="s">
        <v>52</v>
      </c>
      <c r="C50" s="5" t="s">
        <v>29</v>
      </c>
      <c r="D50" s="4" t="s">
        <v>25</v>
      </c>
      <c r="E50" s="5" t="s">
        <v>53</v>
      </c>
      <c r="F50" s="5">
        <v>5</v>
      </c>
      <c r="G50" s="5" t="str">
        <f t="shared" si="0"/>
        <v>CASA5</v>
      </c>
      <c r="H50" s="6">
        <v>1.6692016174533719</v>
      </c>
      <c r="I50" s="6">
        <v>-1.4616233687551758</v>
      </c>
      <c r="J50" s="6">
        <v>-2.1557862316044396</v>
      </c>
      <c r="K50" s="6">
        <v>27.365144113378719</v>
      </c>
      <c r="L50" s="6">
        <v>76.611586637987088</v>
      </c>
      <c r="M50" s="6">
        <v>67.800014088937075</v>
      </c>
      <c r="N50" s="6">
        <v>6.1204751346472692</v>
      </c>
      <c r="O50" s="6">
        <v>4.4455982936275333</v>
      </c>
      <c r="P50" s="6">
        <v>0.10805583214828141</v>
      </c>
      <c r="Q50" s="6">
        <v>0.14876581061432845</v>
      </c>
      <c r="R50" s="6">
        <v>0.16142804717334666</v>
      </c>
      <c r="S50" s="6">
        <v>0.22224597984379282</v>
      </c>
    </row>
    <row r="51" spans="1:19" ht="16" x14ac:dyDescent="0.2">
      <c r="A51" s="4" t="s">
        <v>51</v>
      </c>
      <c r="B51" s="5" t="s">
        <v>52</v>
      </c>
      <c r="C51" s="5" t="s">
        <v>29</v>
      </c>
      <c r="D51" s="4" t="s">
        <v>25</v>
      </c>
      <c r="E51" s="5" t="s">
        <v>53</v>
      </c>
      <c r="F51" s="5">
        <v>6</v>
      </c>
      <c r="G51" s="5" t="str">
        <f t="shared" si="0"/>
        <v>CASA6</v>
      </c>
      <c r="H51" s="6">
        <v>1.7342038859700313</v>
      </c>
      <c r="I51" s="6">
        <v>-1.6846157917367797</v>
      </c>
      <c r="J51" s="6">
        <v>-2.1376793612179723</v>
      </c>
      <c r="K51" s="6">
        <v>-15.983297205095994</v>
      </c>
      <c r="L51" s="6">
        <v>75.418293507778927</v>
      </c>
      <c r="M51" s="6">
        <v>78.805821972147712</v>
      </c>
      <c r="N51" s="6">
        <v>7.7076154746578629</v>
      </c>
      <c r="O51" s="6">
        <v>8.9395465633983928</v>
      </c>
      <c r="P51" s="6">
        <v>0.10528743262665483</v>
      </c>
      <c r="Q51" s="6">
        <v>0.31396181155879205</v>
      </c>
      <c r="R51" s="6">
        <v>9.0778099229643958E-2</v>
      </c>
      <c r="S51" s="6">
        <v>0.27069571147266597</v>
      </c>
    </row>
    <row r="52" spans="1:19" ht="16" x14ac:dyDescent="0.2">
      <c r="A52" s="4" t="s">
        <v>54</v>
      </c>
      <c r="B52" s="5" t="s">
        <v>47</v>
      </c>
      <c r="C52" s="5" t="s">
        <v>24</v>
      </c>
      <c r="D52" s="7" t="s">
        <v>25</v>
      </c>
      <c r="E52" s="5" t="s">
        <v>55</v>
      </c>
      <c r="F52" s="5">
        <v>1</v>
      </c>
      <c r="G52" s="5" t="str">
        <f t="shared" si="0"/>
        <v>CEOC1</v>
      </c>
      <c r="H52" s="14">
        <v>2.6158086403552963</v>
      </c>
      <c r="I52" s="14">
        <v>-1.6486598424974277</v>
      </c>
      <c r="J52" s="14">
        <v>-2.5652430650128535</v>
      </c>
      <c r="K52" s="14">
        <v>-56.755644661255076</v>
      </c>
      <c r="L52" s="14">
        <v>43.989871411902172</v>
      </c>
      <c r="M52" s="14">
        <v>64.269147239237043</v>
      </c>
      <c r="N52" s="14">
        <v>2.882550312779085</v>
      </c>
      <c r="O52" s="14">
        <v>4.5185603254818778</v>
      </c>
      <c r="P52" s="14">
        <v>0.21952173708576792</v>
      </c>
      <c r="Q52" s="14">
        <v>0.31212703158383498</v>
      </c>
      <c r="R52" s="14">
        <v>0.14004072233580414</v>
      </c>
      <c r="S52" s="14">
        <v>0.19911693276394204</v>
      </c>
    </row>
    <row r="53" spans="1:19" ht="16" x14ac:dyDescent="0.2">
      <c r="A53" s="4" t="s">
        <v>54</v>
      </c>
      <c r="B53" s="5" t="s">
        <v>47</v>
      </c>
      <c r="C53" s="5" t="s">
        <v>24</v>
      </c>
      <c r="D53" s="7" t="s">
        <v>25</v>
      </c>
      <c r="E53" s="5" t="s">
        <v>55</v>
      </c>
      <c r="F53" s="5">
        <v>2</v>
      </c>
      <c r="G53" s="5" t="str">
        <f t="shared" si="0"/>
        <v>CEOC2</v>
      </c>
      <c r="H53" s="14">
        <v>3.9090299479197257</v>
      </c>
      <c r="I53" s="14">
        <v>-2.0710611257045648</v>
      </c>
      <c r="J53" s="14">
        <v>-2.5607193841682405</v>
      </c>
      <c r="K53" s="14">
        <v>-160.82256117251569</v>
      </c>
      <c r="L53" s="14">
        <v>50.125764712304466</v>
      </c>
      <c r="M53" s="14">
        <v>80.878097713829575</v>
      </c>
      <c r="N53" s="14">
        <v>4.1333878665989996</v>
      </c>
      <c r="O53" s="14">
        <v>10.780808096857456</v>
      </c>
      <c r="P53" s="14">
        <v>0.19375810840609725</v>
      </c>
      <c r="Q53" s="14">
        <v>0.6118871488775991</v>
      </c>
      <c r="R53" s="14">
        <v>7.4287326807569026E-2</v>
      </c>
      <c r="S53" s="14">
        <v>0.2345990109624293</v>
      </c>
    </row>
    <row r="54" spans="1:19" ht="16" x14ac:dyDescent="0.2">
      <c r="A54" s="4" t="s">
        <v>54</v>
      </c>
      <c r="B54" s="5" t="s">
        <v>47</v>
      </c>
      <c r="C54" s="5" t="s">
        <v>24</v>
      </c>
      <c r="D54" s="7" t="s">
        <v>25</v>
      </c>
      <c r="E54" s="5" t="s">
        <v>55</v>
      </c>
      <c r="F54" s="5">
        <v>3</v>
      </c>
      <c r="G54" s="5" t="str">
        <f t="shared" si="0"/>
        <v>CEOC3</v>
      </c>
      <c r="H54" s="14">
        <v>2.3312394996944672</v>
      </c>
      <c r="I54" s="14">
        <v>-1.4797022821192896</v>
      </c>
      <c r="J54" s="14">
        <v>-1.6206232558038571</v>
      </c>
      <c r="K54" s="14">
        <v>55.054283426821861</v>
      </c>
      <c r="L54" s="14">
        <v>96.09175413239322</v>
      </c>
      <c r="M54" s="14">
        <v>91.304519839518875</v>
      </c>
      <c r="N54" s="14">
        <v>29.517259222830265</v>
      </c>
      <c r="O54" s="14">
        <v>13.266743670463585</v>
      </c>
      <c r="P54" s="14">
        <v>3.0704136130525441E-2</v>
      </c>
      <c r="Q54" s="14">
        <v>0.12712529991739821</v>
      </c>
      <c r="R54" s="14">
        <v>6.8313820473936901E-2</v>
      </c>
      <c r="S54" s="14">
        <v>0.28284185815664969</v>
      </c>
    </row>
    <row r="55" spans="1:19" ht="16" x14ac:dyDescent="0.2">
      <c r="A55" s="4" t="s">
        <v>54</v>
      </c>
      <c r="B55" s="5" t="s">
        <v>47</v>
      </c>
      <c r="C55" s="5" t="s">
        <v>24</v>
      </c>
      <c r="D55" s="7" t="s">
        <v>25</v>
      </c>
      <c r="E55" s="5" t="s">
        <v>55</v>
      </c>
      <c r="F55" s="5">
        <v>4</v>
      </c>
      <c r="G55" s="5" t="str">
        <f t="shared" si="0"/>
        <v>CEOC4</v>
      </c>
      <c r="H55" s="14">
        <v>2.0289606847317021</v>
      </c>
      <c r="I55" s="14">
        <v>-1.7552005200633998</v>
      </c>
      <c r="J55" s="14">
        <v>-2.1875866924571019</v>
      </c>
      <c r="K55" s="14">
        <v>42.443621501176082</v>
      </c>
      <c r="L55" s="14">
        <v>88.623727561627746</v>
      </c>
      <c r="M55" s="14">
        <v>80.2345582972968</v>
      </c>
      <c r="N55" s="14">
        <v>14.660428901669118</v>
      </c>
      <c r="O55" s="14">
        <v>8.4380119481956548</v>
      </c>
      <c r="P55" s="14">
        <v>5.4364136898020957E-2</v>
      </c>
      <c r="Q55" s="14">
        <v>0.13449910143218374</v>
      </c>
      <c r="R55" s="14">
        <v>9.4453713586465121E-2</v>
      </c>
      <c r="S55" s="14">
        <v>0.2336823562221369</v>
      </c>
    </row>
    <row r="56" spans="1:19" ht="16" x14ac:dyDescent="0.2">
      <c r="A56" s="4" t="s">
        <v>54</v>
      </c>
      <c r="B56" s="5" t="s">
        <v>47</v>
      </c>
      <c r="C56" s="5" t="s">
        <v>24</v>
      </c>
      <c r="D56" s="7" t="s">
        <v>25</v>
      </c>
      <c r="E56" s="5" t="s">
        <v>55</v>
      </c>
      <c r="F56" s="5">
        <v>6</v>
      </c>
      <c r="G56" s="5" t="str">
        <f t="shared" si="0"/>
        <v>CEOC6</v>
      </c>
      <c r="H56" s="14">
        <v>2.9766472403566686</v>
      </c>
      <c r="I56" s="14">
        <v>-1.5650436109328192</v>
      </c>
      <c r="J56" s="14">
        <v>-2.4370400646031376</v>
      </c>
      <c r="K56" s="14">
        <v>6.2373878910553202</v>
      </c>
      <c r="L56" s="14">
        <v>66.450832535172211</v>
      </c>
      <c r="M56" s="14">
        <v>64.219034954096273</v>
      </c>
      <c r="N56" s="14">
        <v>4.702765807451847</v>
      </c>
      <c r="O56" s="14">
        <v>4.4094360624331363</v>
      </c>
      <c r="P56" s="14">
        <v>0.13801369651025677</v>
      </c>
      <c r="Q56" s="14">
        <v>0.18751050514676443</v>
      </c>
      <c r="R56" s="14">
        <v>0.1471948076168105</v>
      </c>
      <c r="S56" s="14">
        <v>0.19998430176933796</v>
      </c>
    </row>
    <row r="57" spans="1:19" ht="16" x14ac:dyDescent="0.2">
      <c r="A57" s="4" t="s">
        <v>56</v>
      </c>
      <c r="B57" s="5" t="s">
        <v>57</v>
      </c>
      <c r="C57" s="5" t="s">
        <v>29</v>
      </c>
      <c r="D57" s="4" t="s">
        <v>41</v>
      </c>
      <c r="E57" s="5" t="s">
        <v>58</v>
      </c>
      <c r="F57" s="5">
        <v>1</v>
      </c>
      <c r="G57" s="5" t="str">
        <f t="shared" si="0"/>
        <v>CEBE_a1</v>
      </c>
      <c r="H57" s="6">
        <v>1.5641691594066154</v>
      </c>
      <c r="I57" s="6">
        <v>-1.7218348167617503</v>
      </c>
      <c r="J57" s="6">
        <v>-2.1474326179938763</v>
      </c>
      <c r="K57" s="6">
        <v>-13.348886978288292</v>
      </c>
      <c r="L57" s="6">
        <v>77.535482759345044</v>
      </c>
      <c r="M57" s="6">
        <v>80.181087049440563</v>
      </c>
      <c r="N57" s="6">
        <v>6.416041522346962</v>
      </c>
      <c r="O57" s="6">
        <v>7.272511653645096</v>
      </c>
      <c r="P57" s="6">
        <v>0.11913641963149862</v>
      </c>
      <c r="Q57" s="6">
        <v>0.16281790676293734</v>
      </c>
      <c r="R57" s="6">
        <v>0.10510594572871197</v>
      </c>
      <c r="S57" s="6">
        <v>0.1436431456041776</v>
      </c>
    </row>
    <row r="58" spans="1:19" ht="16" x14ac:dyDescent="0.2">
      <c r="A58" s="4" t="s">
        <v>56</v>
      </c>
      <c r="B58" s="5" t="s">
        <v>57</v>
      </c>
      <c r="C58" s="5" t="s">
        <v>29</v>
      </c>
      <c r="D58" s="4" t="s">
        <v>41</v>
      </c>
      <c r="E58" s="5" t="s">
        <v>58</v>
      </c>
      <c r="F58" s="5">
        <v>2</v>
      </c>
      <c r="G58" s="5" t="str">
        <f t="shared" si="0"/>
        <v>CEBE_a2</v>
      </c>
      <c r="H58" s="6">
        <v>1.592618655504638</v>
      </c>
      <c r="I58" s="6">
        <v>-1.5303389715020028</v>
      </c>
      <c r="J58" s="6">
        <v>-2.2796603437021972</v>
      </c>
      <c r="K58" s="6">
        <v>-8.9819779278393952</v>
      </c>
      <c r="L58" s="6">
        <v>64.177766450348059</v>
      </c>
      <c r="M58" s="6">
        <v>67.130130842944482</v>
      </c>
      <c r="N58" s="6">
        <v>4.2899144381547591</v>
      </c>
      <c r="O58" s="6">
        <v>4.6752336061130144</v>
      </c>
      <c r="P58" s="6">
        <v>0.15036309850180896</v>
      </c>
      <c r="Q58" s="6">
        <v>0.1130778630468811</v>
      </c>
      <c r="R58" s="6">
        <v>0.13797060886651316</v>
      </c>
      <c r="S58" s="6">
        <v>0.10375831416984724</v>
      </c>
    </row>
    <row r="59" spans="1:19" ht="16" x14ac:dyDescent="0.2">
      <c r="A59" s="4" t="s">
        <v>56</v>
      </c>
      <c r="B59" s="5" t="s">
        <v>57</v>
      </c>
      <c r="C59" s="5" t="s">
        <v>29</v>
      </c>
      <c r="D59" s="4" t="s">
        <v>41</v>
      </c>
      <c r="E59" s="5" t="s">
        <v>58</v>
      </c>
      <c r="F59" s="5">
        <v>3</v>
      </c>
      <c r="G59" s="5" t="str">
        <f t="shared" si="0"/>
        <v>CEBE_a3</v>
      </c>
      <c r="H59" s="6">
        <v>1.609569159112225</v>
      </c>
      <c r="I59" s="6">
        <v>-1.5782146355532762</v>
      </c>
      <c r="J59" s="6">
        <v>-1.9588302175828844</v>
      </c>
      <c r="K59" s="6">
        <v>-9.7215946953047307</v>
      </c>
      <c r="L59" s="6">
        <v>78.68026118276731</v>
      </c>
      <c r="M59" s="6">
        <v>80.569240835008543</v>
      </c>
      <c r="N59" s="6">
        <v>6.6485391985701785</v>
      </c>
      <c r="O59" s="6">
        <v>7.2948832326136319</v>
      </c>
      <c r="P59" s="6">
        <v>0.11703590501763521</v>
      </c>
      <c r="Q59" s="6">
        <v>0.16120695180230607</v>
      </c>
      <c r="R59" s="6">
        <v>0.10666624500185422</v>
      </c>
      <c r="S59" s="6">
        <v>0.14692363180646031</v>
      </c>
    </row>
    <row r="60" spans="1:19" ht="16" x14ac:dyDescent="0.2">
      <c r="A60" s="4" t="s">
        <v>56</v>
      </c>
      <c r="B60" s="5" t="s">
        <v>57</v>
      </c>
      <c r="C60" s="5" t="s">
        <v>29</v>
      </c>
      <c r="D60" s="4" t="s">
        <v>41</v>
      </c>
      <c r="E60" s="5" t="s">
        <v>58</v>
      </c>
      <c r="F60" s="5">
        <v>5</v>
      </c>
      <c r="G60" s="5" t="str">
        <f t="shared" si="0"/>
        <v>CEBE_a5</v>
      </c>
      <c r="H60" s="6">
        <v>1.4772477671760063</v>
      </c>
      <c r="I60" s="6">
        <v>-1.6529553331092028</v>
      </c>
      <c r="J60" s="6">
        <v>-2.0122364743806851</v>
      </c>
      <c r="K60" s="6">
        <v>-20.295597362794297</v>
      </c>
      <c r="L60" s="6">
        <v>78.521441162256323</v>
      </c>
      <c r="M60" s="6">
        <v>82.145182942175836</v>
      </c>
      <c r="N60" s="6">
        <v>8.7917468104699203</v>
      </c>
      <c r="O60" s="6">
        <v>10.576084344279202</v>
      </c>
      <c r="P60" s="6">
        <v>9.6519050490489769E-2</v>
      </c>
      <c r="Q60" s="6">
        <v>0.34130133146394698</v>
      </c>
      <c r="R60" s="6">
        <v>8.0234898538640742E-2</v>
      </c>
      <c r="S60" s="6">
        <v>0.28371888826041702</v>
      </c>
    </row>
    <row r="61" spans="1:19" ht="16" x14ac:dyDescent="0.2">
      <c r="A61" s="4" t="s">
        <v>56</v>
      </c>
      <c r="B61" s="5" t="s">
        <v>57</v>
      </c>
      <c r="C61" s="5" t="s">
        <v>29</v>
      </c>
      <c r="D61" s="4" t="s">
        <v>41</v>
      </c>
      <c r="E61" s="5" t="s">
        <v>58</v>
      </c>
      <c r="F61" s="5">
        <v>6</v>
      </c>
      <c r="G61" s="5" t="str">
        <f t="shared" si="0"/>
        <v>CEBE_a6</v>
      </c>
      <c r="H61" s="6">
        <v>1.6760374294377323</v>
      </c>
      <c r="I61" s="6">
        <v>-1.5283576616355603</v>
      </c>
      <c r="J61" s="6">
        <v>-1.9597044588655779</v>
      </c>
      <c r="K61" s="6">
        <v>-3.3454118668426389</v>
      </c>
      <c r="L61" s="6">
        <v>77.252839214855641</v>
      </c>
      <c r="M61" s="6">
        <v>77.989191417173544</v>
      </c>
      <c r="N61" s="6">
        <v>6.8951675630737181</v>
      </c>
      <c r="O61" s="6">
        <v>7.1258393169674674</v>
      </c>
      <c r="P61" s="6">
        <v>0.11317672252821442</v>
      </c>
      <c r="Q61" s="6">
        <v>0.22732639766532453</v>
      </c>
      <c r="R61" s="6">
        <v>0.1095130596354284</v>
      </c>
      <c r="S61" s="6">
        <v>0.21996757626572422</v>
      </c>
    </row>
    <row r="62" spans="1:19" ht="16" x14ac:dyDescent="0.2">
      <c r="A62" s="4" t="s">
        <v>56</v>
      </c>
      <c r="B62" s="5" t="s">
        <v>57</v>
      </c>
      <c r="C62" s="5" t="s">
        <v>29</v>
      </c>
      <c r="D62" s="4" t="s">
        <v>25</v>
      </c>
      <c r="E62" s="5" t="s">
        <v>59</v>
      </c>
      <c r="F62" s="5">
        <v>4</v>
      </c>
      <c r="G62" s="5" t="str">
        <f t="shared" si="0"/>
        <v>CEBE4</v>
      </c>
      <c r="H62" s="6">
        <v>0.77097961522514569</v>
      </c>
      <c r="I62" s="6">
        <v>-1.4435682570967356</v>
      </c>
      <c r="J62" s="6">
        <v>-2.3880117146565807</v>
      </c>
      <c r="K62" s="6">
        <v>63.423318229410114</v>
      </c>
      <c r="L62" s="6">
        <v>85.534154801058037</v>
      </c>
      <c r="M62" s="6">
        <v>60.450635490468471</v>
      </c>
      <c r="N62" s="6">
        <v>9.248222802133192</v>
      </c>
      <c r="O62" s="6">
        <v>3.3826930237713939</v>
      </c>
      <c r="P62" s="6">
        <v>6.0377390173154424E-2</v>
      </c>
      <c r="Q62" s="6">
        <v>6.630318400895012E-2</v>
      </c>
      <c r="R62" s="6">
        <v>0.1650707151398895</v>
      </c>
      <c r="S62" s="6">
        <v>0.18127173051072534</v>
      </c>
    </row>
    <row r="63" spans="1:19" ht="16" x14ac:dyDescent="0.2">
      <c r="A63" s="4" t="s">
        <v>56</v>
      </c>
      <c r="B63" s="5" t="s">
        <v>57</v>
      </c>
      <c r="C63" s="5" t="s">
        <v>29</v>
      </c>
      <c r="D63" s="4" t="s">
        <v>25</v>
      </c>
      <c r="E63" s="5" t="s">
        <v>59</v>
      </c>
      <c r="F63" s="5">
        <v>8</v>
      </c>
      <c r="G63" s="5" t="str">
        <f t="shared" si="0"/>
        <v>CEBE8</v>
      </c>
      <c r="H63" s="6">
        <v>0.8366694189683862</v>
      </c>
      <c r="I63" s="6">
        <v>-1.6086255972077084</v>
      </c>
      <c r="J63" s="6">
        <v>-2.5292607563919134</v>
      </c>
      <c r="K63" s="6">
        <v>54.657271665462062</v>
      </c>
      <c r="L63" s="6">
        <v>83.495529350772415</v>
      </c>
      <c r="M63" s="6">
        <v>63.600622954450692</v>
      </c>
      <c r="N63" s="6">
        <v>8.5002991182958638</v>
      </c>
      <c r="O63" s="6">
        <v>3.854267536832007</v>
      </c>
      <c r="P63" s="6">
        <v>6.792793995786453E-2</v>
      </c>
      <c r="Q63" s="6">
        <v>8.8896345942656801E-2</v>
      </c>
      <c r="R63" s="6">
        <v>0.14980999700038655</v>
      </c>
      <c r="S63" s="6">
        <v>0.19605424994892315</v>
      </c>
    </row>
    <row r="64" spans="1:19" ht="16" x14ac:dyDescent="0.2">
      <c r="A64" s="4" t="s">
        <v>56</v>
      </c>
      <c r="B64" s="5" t="s">
        <v>57</v>
      </c>
      <c r="C64" s="5" t="s">
        <v>29</v>
      </c>
      <c r="D64" s="4" t="s">
        <v>25</v>
      </c>
      <c r="E64" s="5" t="s">
        <v>59</v>
      </c>
      <c r="F64" s="5">
        <v>9</v>
      </c>
      <c r="G64" s="5" t="str">
        <f t="shared" si="0"/>
        <v>CEBE9</v>
      </c>
      <c r="H64" s="6">
        <v>0.82685268786640209</v>
      </c>
      <c r="I64" s="6">
        <v>-1.6441521162552095</v>
      </c>
      <c r="J64" s="6">
        <v>-2.5686784436680656</v>
      </c>
      <c r="K64" s="6">
        <v>63.549524533859447</v>
      </c>
      <c r="L64" s="6">
        <v>86.880637279362745</v>
      </c>
      <c r="M64" s="6">
        <v>64.007704830012329</v>
      </c>
      <c r="N64" s="6">
        <v>10.860022591661057</v>
      </c>
      <c r="O64" s="6">
        <v>3.9585298703907115</v>
      </c>
      <c r="P64" s="6">
        <v>5.2664869278245895E-2</v>
      </c>
      <c r="Q64" s="6">
        <v>6.6540817733171831E-2</v>
      </c>
      <c r="R64" s="6">
        <v>0.14448335338497156</v>
      </c>
      <c r="S64" s="6">
        <v>0.18255130250627985</v>
      </c>
    </row>
    <row r="65" spans="1:19" ht="16" x14ac:dyDescent="0.2">
      <c r="A65" s="4" t="s">
        <v>56</v>
      </c>
      <c r="B65" s="5" t="s">
        <v>57</v>
      </c>
      <c r="C65" s="5" t="s">
        <v>29</v>
      </c>
      <c r="D65" s="4" t="s">
        <v>25</v>
      </c>
      <c r="E65" s="5" t="s">
        <v>59</v>
      </c>
      <c r="F65" s="5">
        <v>2</v>
      </c>
      <c r="G65" s="5" t="str">
        <f t="shared" si="0"/>
        <v>CEBE2</v>
      </c>
      <c r="H65" s="6">
        <v>0.79984226035673378</v>
      </c>
      <c r="I65" s="6">
        <v>-1.7066220240510932</v>
      </c>
      <c r="J65" s="6">
        <v>-2.6028685228941049</v>
      </c>
      <c r="K65" s="6">
        <v>61.925277290003514</v>
      </c>
      <c r="L65" s="6">
        <v>86.88971931424706</v>
      </c>
      <c r="M65" s="6">
        <v>65.566970019427501</v>
      </c>
      <c r="N65" s="6">
        <v>11.778912669334481</v>
      </c>
      <c r="O65" s="6">
        <v>4.4847883371017261</v>
      </c>
      <c r="P65" s="6">
        <v>5.1175497959136111E-2</v>
      </c>
      <c r="Q65" s="6">
        <v>7.0887522461652488E-2</v>
      </c>
      <c r="R65" s="6">
        <v>0.13440806476497411</v>
      </c>
      <c r="S65" s="6">
        <v>0.18618000977073598</v>
      </c>
    </row>
    <row r="66" spans="1:19" ht="16" x14ac:dyDescent="0.2">
      <c r="A66" s="4" t="s">
        <v>56</v>
      </c>
      <c r="B66" s="5" t="s">
        <v>57</v>
      </c>
      <c r="C66" s="5" t="s">
        <v>29</v>
      </c>
      <c r="D66" s="4" t="s">
        <v>25</v>
      </c>
      <c r="E66" s="5" t="s">
        <v>59</v>
      </c>
      <c r="F66" s="5">
        <v>3</v>
      </c>
      <c r="G66" s="5" t="str">
        <f t="shared" si="0"/>
        <v>CEBE3</v>
      </c>
      <c r="H66" s="6">
        <v>0.7308865816754152</v>
      </c>
      <c r="I66" s="6">
        <v>-1.7454446283522658</v>
      </c>
      <c r="J66" s="6">
        <v>-2.5695647879938983</v>
      </c>
      <c r="K66" s="6">
        <v>53.479876465845535</v>
      </c>
      <c r="L66" s="6">
        <v>85.079896871000059</v>
      </c>
      <c r="M66" s="6">
        <v>67.927636481778052</v>
      </c>
      <c r="N66" s="6">
        <v>10.955965833918201</v>
      </c>
      <c r="O66" s="6">
        <v>5.0967288402985051</v>
      </c>
      <c r="P66" s="6">
        <v>5.8327894716850223E-2</v>
      </c>
      <c r="Q66" s="6">
        <v>0.10485078049813536</v>
      </c>
      <c r="R66" s="6">
        <v>0.12538207185547698</v>
      </c>
      <c r="S66" s="6">
        <v>0.22538800960224295</v>
      </c>
    </row>
    <row r="67" spans="1:19" ht="16" x14ac:dyDescent="0.2">
      <c r="A67" s="7" t="s">
        <v>60</v>
      </c>
      <c r="B67" s="8" t="s">
        <v>61</v>
      </c>
      <c r="C67" s="5" t="s">
        <v>29</v>
      </c>
      <c r="D67" s="4" t="s">
        <v>41</v>
      </c>
      <c r="E67" s="8" t="s">
        <v>62</v>
      </c>
      <c r="F67" s="15">
        <v>1.1000000000000001</v>
      </c>
      <c r="G67" s="5" t="str">
        <f t="shared" si="0"/>
        <v>CLLA1.1</v>
      </c>
      <c r="H67" s="9">
        <v>4.584273310239376</v>
      </c>
      <c r="I67" s="9">
        <v>-0.95605091435937173</v>
      </c>
      <c r="J67" s="9">
        <v>-1.2939766561699027</v>
      </c>
      <c r="K67" s="9">
        <v>-12.642981843974127</v>
      </c>
      <c r="L67" s="9">
        <v>70.582959887355898</v>
      </c>
      <c r="M67" s="9">
        <v>73.884711119072904</v>
      </c>
      <c r="N67" s="9">
        <v>3.062242334245195</v>
      </c>
      <c r="O67" s="9">
        <v>3.4494010765823471</v>
      </c>
      <c r="P67" s="9">
        <v>0.23635001007375381</v>
      </c>
      <c r="Q67" s="9">
        <v>0.49093521849729388</v>
      </c>
      <c r="R67" s="9">
        <v>0.20982222434516856</v>
      </c>
      <c r="S67" s="9">
        <v>0.43583293913268201</v>
      </c>
    </row>
    <row r="68" spans="1:19" ht="16" x14ac:dyDescent="0.2">
      <c r="A68" s="7" t="s">
        <v>60</v>
      </c>
      <c r="B68" s="8" t="s">
        <v>61</v>
      </c>
      <c r="C68" s="5" t="s">
        <v>29</v>
      </c>
      <c r="D68" s="4" t="s">
        <v>41</v>
      </c>
      <c r="E68" s="8" t="s">
        <v>62</v>
      </c>
      <c r="F68" s="15">
        <v>1.2</v>
      </c>
      <c r="G68" s="5" t="str">
        <f t="shared" ref="G68:G131" si="1">_xlfn.CONCAT(E68,F68)</f>
        <v>CLLA1.2</v>
      </c>
      <c r="H68" s="9">
        <v>3.3680630995479786</v>
      </c>
      <c r="I68" s="9">
        <v>-1.1802869780807907</v>
      </c>
      <c r="J68" s="9">
        <v>-1.5699392683325906</v>
      </c>
      <c r="K68" s="9">
        <v>34.785249249661049</v>
      </c>
      <c r="L68" s="9">
        <v>83.81397452714296</v>
      </c>
      <c r="M68" s="9">
        <v>75.180422700959383</v>
      </c>
      <c r="N68" s="9">
        <v>7.0179543913511413</v>
      </c>
      <c r="O68" s="9">
        <v>4.5767414640921125</v>
      </c>
      <c r="P68" s="9">
        <v>0.10522694214070698</v>
      </c>
      <c r="Q68" s="9">
        <v>0.21882205351046913</v>
      </c>
      <c r="R68" s="9">
        <v>0.1613545109503621</v>
      </c>
      <c r="S68" s="9">
        <v>0.33554073425532815</v>
      </c>
    </row>
    <row r="69" spans="1:19" ht="16" x14ac:dyDescent="0.2">
      <c r="A69" s="7" t="s">
        <v>60</v>
      </c>
      <c r="B69" s="8" t="s">
        <v>61</v>
      </c>
      <c r="C69" s="5" t="s">
        <v>29</v>
      </c>
      <c r="D69" s="4" t="s">
        <v>41</v>
      </c>
      <c r="E69" s="8" t="s">
        <v>62</v>
      </c>
      <c r="F69" s="15">
        <v>2</v>
      </c>
      <c r="G69" s="5" t="str">
        <f t="shared" si="1"/>
        <v>CLLA2</v>
      </c>
      <c r="H69" s="9">
        <v>4.7183223765372029</v>
      </c>
      <c r="I69" s="9">
        <v>-0.8449842746624221</v>
      </c>
      <c r="J69" s="9">
        <v>-1.3759043096326635</v>
      </c>
      <c r="K69" s="9">
        <v>42.911068921419186</v>
      </c>
      <c r="L69" s="9">
        <v>77.971100844399672</v>
      </c>
      <c r="M69" s="9">
        <v>61.413011700502231</v>
      </c>
      <c r="N69" s="9">
        <v>4.3800318803763432</v>
      </c>
      <c r="O69" s="9">
        <v>4.1842889630422491</v>
      </c>
      <c r="P69" s="9">
        <v>0.14974326710882885</v>
      </c>
      <c r="Q69" s="9">
        <v>0.17453785509826325</v>
      </c>
      <c r="R69" s="9">
        <v>0.26229824990541944</v>
      </c>
      <c r="S69" s="9">
        <v>0.30572976547418385</v>
      </c>
    </row>
    <row r="70" spans="1:19" ht="16" x14ac:dyDescent="0.2">
      <c r="A70" s="7" t="s">
        <v>60</v>
      </c>
      <c r="B70" s="8" t="s">
        <v>61</v>
      </c>
      <c r="C70" s="5" t="s">
        <v>29</v>
      </c>
      <c r="D70" s="4" t="s">
        <v>41</v>
      </c>
      <c r="E70" s="8" t="s">
        <v>62</v>
      </c>
      <c r="F70" s="15">
        <v>2.1</v>
      </c>
      <c r="G70" s="5" t="str">
        <f t="shared" si="1"/>
        <v>CLLA2.1</v>
      </c>
      <c r="H70" s="9">
        <v>4.593016893688084</v>
      </c>
      <c r="I70" s="9">
        <v>-0.80064150346798502</v>
      </c>
      <c r="J70" s="9">
        <v>-1.1202110775132541</v>
      </c>
      <c r="K70" s="9">
        <v>51.949968814418071</v>
      </c>
      <c r="L70" s="9">
        <v>86.29246906491457</v>
      </c>
      <c r="M70" s="9">
        <v>71.472378691819529</v>
      </c>
      <c r="N70" s="9">
        <v>5.2409424096899508</v>
      </c>
      <c r="O70" s="9">
        <v>2.51827446227444</v>
      </c>
      <c r="P70" s="9">
        <v>0.13260370158432117</v>
      </c>
      <c r="Q70" s="9">
        <v>0.16950009116666179</v>
      </c>
      <c r="R70" s="9">
        <v>0.27597006352018594</v>
      </c>
      <c r="S70" s="9">
        <v>0.35275750500974096</v>
      </c>
    </row>
    <row r="71" spans="1:19" ht="16" x14ac:dyDescent="0.2">
      <c r="A71" s="7" t="s">
        <v>60</v>
      </c>
      <c r="B71" s="8" t="s">
        <v>61</v>
      </c>
      <c r="C71" s="5" t="s">
        <v>29</v>
      </c>
      <c r="D71" s="4" t="s">
        <v>41</v>
      </c>
      <c r="E71" s="8" t="s">
        <v>62</v>
      </c>
      <c r="F71" s="15">
        <v>4</v>
      </c>
      <c r="G71" s="5" t="str">
        <f t="shared" si="1"/>
        <v>CLLA4</v>
      </c>
      <c r="H71" s="9">
        <v>4.3521632475737819</v>
      </c>
      <c r="I71" s="9">
        <v>-0.92782654227985584</v>
      </c>
      <c r="J71" s="9">
        <v>-1.1667849319748682</v>
      </c>
      <c r="K71" s="9">
        <v>31.151476619188244</v>
      </c>
      <c r="L71" s="9">
        <v>85.899773103761206</v>
      </c>
      <c r="M71" s="9">
        <v>79.519928382126253</v>
      </c>
      <c r="N71" s="9">
        <v>6.8940295892773307</v>
      </c>
      <c r="O71" s="9">
        <v>4.746437573653683</v>
      </c>
      <c r="P71" s="9">
        <v>0.11652294137863062</v>
      </c>
      <c r="Q71" s="9">
        <v>0.21386801944889577</v>
      </c>
      <c r="R71" s="9">
        <v>0.16924537471068821</v>
      </c>
      <c r="S71" s="9">
        <v>0.31063559383250411</v>
      </c>
    </row>
    <row r="72" spans="1:19" ht="16" x14ac:dyDescent="0.2">
      <c r="A72" s="7" t="s">
        <v>60</v>
      </c>
      <c r="B72" s="8" t="s">
        <v>61</v>
      </c>
      <c r="C72" s="5" t="s">
        <v>29</v>
      </c>
      <c r="D72" s="4" t="s">
        <v>41</v>
      </c>
      <c r="E72" s="8" t="s">
        <v>62</v>
      </c>
      <c r="F72" s="15">
        <v>4.0999999999999996</v>
      </c>
      <c r="G72" s="5" t="str">
        <f t="shared" si="1"/>
        <v>CLLA4.1</v>
      </c>
      <c r="H72" s="9">
        <v>5.0607981551580714</v>
      </c>
      <c r="I72" s="9">
        <v>-0.9258630163313436</v>
      </c>
      <c r="J72" s="9">
        <v>-1.2576222544361844</v>
      </c>
      <c r="K72" s="9">
        <v>23.003002011502929</v>
      </c>
      <c r="L72" s="9">
        <v>79.688284539401849</v>
      </c>
      <c r="M72" s="9">
        <v>73.620120275815665</v>
      </c>
      <c r="N72" s="9">
        <v>4.6624755225986565</v>
      </c>
      <c r="O72" s="9">
        <v>3.5899661843494579</v>
      </c>
      <c r="P72" s="9">
        <v>0.15898364216692992</v>
      </c>
      <c r="Q72" s="9">
        <v>0.28154603799430955</v>
      </c>
      <c r="R72" s="9">
        <v>0.20648031263593047</v>
      </c>
      <c r="S72" s="9">
        <v>0.36565846117321643</v>
      </c>
    </row>
    <row r="73" spans="1:19" ht="16" x14ac:dyDescent="0.2">
      <c r="A73" s="4" t="s">
        <v>63</v>
      </c>
      <c r="B73" s="8" t="s">
        <v>61</v>
      </c>
      <c r="C73" s="5" t="s">
        <v>29</v>
      </c>
      <c r="D73" s="4" t="s">
        <v>41</v>
      </c>
      <c r="E73" s="5" t="s">
        <v>64</v>
      </c>
      <c r="F73" s="5">
        <v>1</v>
      </c>
      <c r="G73" s="5" t="str">
        <f t="shared" si="1"/>
        <v>CLLI1</v>
      </c>
      <c r="H73" s="6">
        <v>6.4821985953338492</v>
      </c>
      <c r="I73" s="6">
        <v>-1.2564930080912999</v>
      </c>
      <c r="J73" s="6">
        <v>-1.4313507316392311</v>
      </c>
      <c r="K73" s="6">
        <v>11.567872983518058</v>
      </c>
      <c r="L73" s="6">
        <v>89.19688929009402</v>
      </c>
      <c r="M73" s="6">
        <v>87.78372626060154</v>
      </c>
      <c r="N73" s="6">
        <v>12.654623344665708</v>
      </c>
      <c r="O73" s="6">
        <v>11.190752589612162</v>
      </c>
      <c r="P73" s="6">
        <v>7.0236781850700106E-2</v>
      </c>
      <c r="Q73" s="6">
        <v>0.37931001921257457</v>
      </c>
      <c r="R73" s="6">
        <v>7.9424508060978061E-2</v>
      </c>
      <c r="S73" s="6">
        <v>0.42892784784185634</v>
      </c>
    </row>
    <row r="74" spans="1:19" ht="16" x14ac:dyDescent="0.2">
      <c r="A74" s="4" t="s">
        <v>63</v>
      </c>
      <c r="B74" s="8" t="s">
        <v>61</v>
      </c>
      <c r="C74" s="5" t="s">
        <v>29</v>
      </c>
      <c r="D74" s="4" t="s">
        <v>41</v>
      </c>
      <c r="E74" s="5" t="s">
        <v>64</v>
      </c>
      <c r="F74" s="5">
        <v>2</v>
      </c>
      <c r="G74" s="5" t="str">
        <f t="shared" si="1"/>
        <v>CLLI2</v>
      </c>
      <c r="H74" s="6">
        <v>4.5148776508812061</v>
      </c>
      <c r="I74" s="6">
        <v>-1.2504797849879354</v>
      </c>
      <c r="J74" s="6">
        <v>-1.4611784204309564</v>
      </c>
      <c r="K74" s="6">
        <v>-4.0144626785570949</v>
      </c>
      <c r="L74" s="6">
        <v>85.001348879593181</v>
      </c>
      <c r="M74" s="6">
        <v>85.580225351201236</v>
      </c>
      <c r="N74" s="6">
        <v>8.750258976079424</v>
      </c>
      <c r="O74" s="6">
        <v>9.1015348569512202</v>
      </c>
      <c r="P74" s="6">
        <v>9.8469838117286754E-2</v>
      </c>
      <c r="Q74" s="6">
        <v>0.42632311196436856</v>
      </c>
      <c r="R74" s="6">
        <v>9.4669371529221641E-2</v>
      </c>
      <c r="S74" s="6">
        <v>0.40986907107510823</v>
      </c>
    </row>
    <row r="75" spans="1:19" ht="16" x14ac:dyDescent="0.2">
      <c r="A75" s="4" t="s">
        <v>63</v>
      </c>
      <c r="B75" s="8" t="s">
        <v>61</v>
      </c>
      <c r="C75" s="5" t="s">
        <v>29</v>
      </c>
      <c r="D75" s="4" t="s">
        <v>41</v>
      </c>
      <c r="E75" s="5" t="s">
        <v>64</v>
      </c>
      <c r="F75" s="5">
        <v>3</v>
      </c>
      <c r="G75" s="5" t="str">
        <f t="shared" si="1"/>
        <v>CLLI3</v>
      </c>
      <c r="H75" s="6">
        <v>5.5386595860475927</v>
      </c>
      <c r="I75" s="6">
        <v>-1.2069607434564744</v>
      </c>
      <c r="J75" s="6">
        <v>-1.3574768300404656</v>
      </c>
      <c r="K75" s="6">
        <v>-0.6157581799386378</v>
      </c>
      <c r="L75" s="6">
        <v>88.843794726519121</v>
      </c>
      <c r="M75" s="6">
        <v>88.912069565157566</v>
      </c>
      <c r="N75" s="6">
        <v>11.774267382817595</v>
      </c>
      <c r="O75" s="6">
        <v>11.846768397355136</v>
      </c>
      <c r="P75" s="6">
        <v>7.6423029531217754E-2</v>
      </c>
      <c r="Q75" s="6">
        <v>0.50856621890884435</v>
      </c>
      <c r="R75" s="6">
        <v>7.5955328383596546E-2</v>
      </c>
      <c r="S75" s="6">
        <v>0.50545384550930572</v>
      </c>
    </row>
    <row r="76" spans="1:19" ht="16" x14ac:dyDescent="0.2">
      <c r="A76" s="4" t="s">
        <v>63</v>
      </c>
      <c r="B76" s="8" t="s">
        <v>61</v>
      </c>
      <c r="C76" s="5" t="s">
        <v>29</v>
      </c>
      <c r="D76" s="4" t="s">
        <v>41</v>
      </c>
      <c r="E76" s="5" t="s">
        <v>64</v>
      </c>
      <c r="F76" s="5">
        <v>4</v>
      </c>
      <c r="G76" s="5" t="str">
        <f t="shared" si="1"/>
        <v>CLLI4</v>
      </c>
      <c r="H76" s="6">
        <v>4.4988392208417114</v>
      </c>
      <c r="I76" s="6">
        <v>-1.2253812338799406</v>
      </c>
      <c r="J76" s="6">
        <v>-1.4763430955959209</v>
      </c>
      <c r="K76" s="6">
        <v>32.355930128292002</v>
      </c>
      <c r="L76" s="6">
        <v>88.501262504839801</v>
      </c>
      <c r="M76" s="6">
        <v>83.001115224189775</v>
      </c>
      <c r="N76" s="6">
        <v>10.807380617362488</v>
      </c>
      <c r="O76" s="6">
        <v>7.3105520961101016</v>
      </c>
      <c r="P76" s="6">
        <v>7.6588517421399036E-2</v>
      </c>
      <c r="Q76" s="6">
        <v>0.26142105394376869</v>
      </c>
      <c r="R76" s="6">
        <v>0.11322281105595054</v>
      </c>
      <c r="S76" s="6">
        <v>0.38646559031644956</v>
      </c>
    </row>
    <row r="77" spans="1:19" ht="16" x14ac:dyDescent="0.2">
      <c r="A77" s="4" t="s">
        <v>63</v>
      </c>
      <c r="B77" s="8" t="s">
        <v>61</v>
      </c>
      <c r="C77" s="5" t="s">
        <v>29</v>
      </c>
      <c r="D77" s="4" t="s">
        <v>41</v>
      </c>
      <c r="E77" s="5" t="s">
        <v>64</v>
      </c>
      <c r="F77" s="5">
        <v>5</v>
      </c>
      <c r="G77" s="5" t="str">
        <f t="shared" si="1"/>
        <v>CLLI5</v>
      </c>
      <c r="H77" s="6">
        <v>5.5807841209142763</v>
      </c>
      <c r="I77" s="6">
        <v>-1.1956267417733604</v>
      </c>
      <c r="J77" s="6">
        <v>-1.4350962645639473</v>
      </c>
      <c r="K77" s="6">
        <v>-7.7644707387061089</v>
      </c>
      <c r="L77" s="6">
        <v>82.017717543554937</v>
      </c>
      <c r="M77" s="6">
        <v>83.31334777299071</v>
      </c>
      <c r="N77" s="6">
        <v>7.1781702865460746</v>
      </c>
      <c r="O77" s="6">
        <v>7.7355172180194378</v>
      </c>
      <c r="P77" s="6">
        <v>0.11767837792050137</v>
      </c>
      <c r="Q77" s="6">
        <v>0.40958894613472546</v>
      </c>
      <c r="R77" s="6">
        <v>2.0255231588513195E-2</v>
      </c>
      <c r="S77" s="6">
        <v>0.38007790817053699</v>
      </c>
    </row>
    <row r="78" spans="1:19" ht="16" x14ac:dyDescent="0.2">
      <c r="A78" s="4" t="s">
        <v>63</v>
      </c>
      <c r="B78" s="8" t="s">
        <v>61</v>
      </c>
      <c r="C78" s="5" t="s">
        <v>29</v>
      </c>
      <c r="D78" s="4" t="s">
        <v>41</v>
      </c>
      <c r="E78" s="5" t="s">
        <v>64</v>
      </c>
      <c r="F78" s="5">
        <v>6</v>
      </c>
      <c r="G78" s="5" t="str">
        <f t="shared" si="1"/>
        <v>CLLI6</v>
      </c>
      <c r="H78" s="6">
        <v>4.4372489334843275</v>
      </c>
      <c r="I78" s="6">
        <v>-0.973578200035917</v>
      </c>
      <c r="J78" s="6">
        <v>-1.2858534070688761</v>
      </c>
      <c r="K78" s="6">
        <v>62.110122322533329</v>
      </c>
      <c r="L78" s="6">
        <v>90.798275035755594</v>
      </c>
      <c r="M78" s="6">
        <v>75.714556160426127</v>
      </c>
      <c r="N78" s="6">
        <v>11.399564506701516</v>
      </c>
      <c r="O78" s="6">
        <v>4.3192810473531118</v>
      </c>
      <c r="P78" s="6">
        <v>6.7904089802538217E-2</v>
      </c>
      <c r="Q78" s="6">
        <v>0.14197630469206737</v>
      </c>
      <c r="R78" s="6">
        <v>0.17921432837699861</v>
      </c>
      <c r="S78" s="6">
        <v>0.37470774094502113</v>
      </c>
    </row>
    <row r="79" spans="1:19" ht="16" x14ac:dyDescent="0.2">
      <c r="A79" s="4" t="s">
        <v>65</v>
      </c>
      <c r="B79" s="5" t="s">
        <v>66</v>
      </c>
      <c r="C79" s="5" t="s">
        <v>29</v>
      </c>
      <c r="D79" s="4" t="s">
        <v>67</v>
      </c>
      <c r="E79" s="5" t="s">
        <v>68</v>
      </c>
      <c r="F79" s="5">
        <v>1</v>
      </c>
      <c r="G79" s="5" t="str">
        <f t="shared" si="1"/>
        <v>CLIS1</v>
      </c>
      <c r="H79" s="14">
        <v>7.7556370797285696</v>
      </c>
      <c r="I79" s="14">
        <v>-0.75546508645619637</v>
      </c>
      <c r="J79" s="14">
        <v>-1.0427169554930766</v>
      </c>
      <c r="K79" s="14">
        <v>-24.410226172781606</v>
      </c>
      <c r="L79" s="14">
        <v>65.726969522104596</v>
      </c>
      <c r="M79" s="14">
        <v>72.451597001120433</v>
      </c>
      <c r="N79" s="14">
        <v>2.1262901964347964</v>
      </c>
      <c r="O79" s="14">
        <v>2.6453224424742161</v>
      </c>
      <c r="P79" s="14">
        <v>0.33073930078135738</v>
      </c>
      <c r="Q79" s="6">
        <v>0.29524012746177652</v>
      </c>
      <c r="R79" s="6">
        <v>0.26584575155584428</v>
      </c>
      <c r="S79" s="6">
        <v>0.2373117842031294</v>
      </c>
    </row>
    <row r="80" spans="1:19" ht="16" x14ac:dyDescent="0.2">
      <c r="A80" s="4" t="s">
        <v>65</v>
      </c>
      <c r="B80" s="5" t="s">
        <v>66</v>
      </c>
      <c r="C80" s="5" t="s">
        <v>29</v>
      </c>
      <c r="D80" s="4" t="s">
        <v>67</v>
      </c>
      <c r="E80" s="5" t="s">
        <v>68</v>
      </c>
      <c r="F80" s="5">
        <v>2</v>
      </c>
      <c r="G80" s="5" t="str">
        <f t="shared" si="1"/>
        <v>CLIS2</v>
      </c>
      <c r="H80" s="14">
        <v>8.4839738064990442</v>
      </c>
      <c r="I80" s="14">
        <v>-0.93605437531252367</v>
      </c>
      <c r="J80" s="14">
        <v>-1.1412716968230743</v>
      </c>
      <c r="K80" s="14">
        <v>-8.8811176095249351</v>
      </c>
      <c r="L80" s="14">
        <v>80.421584640098303</v>
      </c>
      <c r="M80" s="14">
        <v>82.018539311733747</v>
      </c>
      <c r="N80" s="14">
        <v>4.9500356700843726</v>
      </c>
      <c r="O80" s="6">
        <v>5.3896541596580025</v>
      </c>
      <c r="P80" s="6">
        <v>0.16710573172248497</v>
      </c>
      <c r="Q80" s="6">
        <v>0.32382221683581092</v>
      </c>
      <c r="R80" s="6">
        <v>0.15347540086956871</v>
      </c>
      <c r="S80" s="6">
        <v>0.29740897590445237</v>
      </c>
    </row>
    <row r="81" spans="1:19" ht="16" x14ac:dyDescent="0.2">
      <c r="A81" s="4" t="s">
        <v>65</v>
      </c>
      <c r="B81" s="5" t="s">
        <v>66</v>
      </c>
      <c r="C81" s="5" t="s">
        <v>29</v>
      </c>
      <c r="D81" s="4" t="s">
        <v>67</v>
      </c>
      <c r="E81" s="5" t="s">
        <v>68</v>
      </c>
      <c r="F81" s="5">
        <v>3</v>
      </c>
      <c r="G81" s="5" t="str">
        <f t="shared" si="1"/>
        <v>CLIS3</v>
      </c>
      <c r="H81" s="14">
        <v>5.8065691769353256</v>
      </c>
      <c r="I81" s="14">
        <v>-1.1367806177849071</v>
      </c>
      <c r="J81" s="14">
        <v>-1.4214007869637906</v>
      </c>
      <c r="K81" s="14">
        <v>-20.037240721788493</v>
      </c>
      <c r="L81" s="14">
        <v>75.963837873636891</v>
      </c>
      <c r="M81" s="14">
        <v>79.976079105257043</v>
      </c>
      <c r="N81" s="14">
        <v>4.9690226743939974</v>
      </c>
      <c r="O81" s="6">
        <v>5.9646777091825749</v>
      </c>
      <c r="P81" s="6">
        <v>0.16215214817262988</v>
      </c>
      <c r="Q81" s="6">
        <v>0.5200902285875002</v>
      </c>
      <c r="R81" s="6">
        <v>0.13508486799396824</v>
      </c>
      <c r="S81" s="6">
        <v>0.4332740618329623</v>
      </c>
    </row>
    <row r="82" spans="1:19" ht="16" x14ac:dyDescent="0.2">
      <c r="A82" s="4" t="s">
        <v>65</v>
      </c>
      <c r="B82" s="5" t="s">
        <v>66</v>
      </c>
      <c r="C82" s="5" t="s">
        <v>29</v>
      </c>
      <c r="D82" s="4" t="s">
        <v>67</v>
      </c>
      <c r="E82" s="5" t="s">
        <v>68</v>
      </c>
      <c r="F82" s="5">
        <v>4</v>
      </c>
      <c r="G82" s="5" t="str">
        <f t="shared" si="1"/>
        <v>CLIS4</v>
      </c>
      <c r="H82" s="14">
        <v>5.1699789803857508</v>
      </c>
      <c r="I82" s="14">
        <v>-1.4583042784032205</v>
      </c>
      <c r="J82" s="14">
        <v>-1.8865613294476618</v>
      </c>
      <c r="K82" s="14">
        <v>-52.989147193703218</v>
      </c>
      <c r="L82" s="14">
        <v>65.270844898447294</v>
      </c>
      <c r="M82" s="14">
        <v>77.299595599692239</v>
      </c>
      <c r="N82" s="14">
        <v>3.8817985782191302</v>
      </c>
      <c r="O82" s="6">
        <v>5.9387305405947393</v>
      </c>
      <c r="P82" s="6">
        <v>0.19137776982789939</v>
      </c>
      <c r="Q82" s="6">
        <v>0.3915356736260413</v>
      </c>
      <c r="R82" s="6">
        <v>0.12509238291628072</v>
      </c>
      <c r="S82" s="6">
        <v>0.25592382257697494</v>
      </c>
    </row>
    <row r="83" spans="1:19" ht="16" x14ac:dyDescent="0.2">
      <c r="A83" s="4" t="s">
        <v>65</v>
      </c>
      <c r="B83" s="5" t="s">
        <v>66</v>
      </c>
      <c r="C83" s="5" t="s">
        <v>29</v>
      </c>
      <c r="D83" s="4" t="s">
        <v>67</v>
      </c>
      <c r="E83" s="5" t="s">
        <v>68</v>
      </c>
      <c r="F83" s="5">
        <v>5</v>
      </c>
      <c r="G83" s="5" t="str">
        <f t="shared" si="1"/>
        <v>CLIS5</v>
      </c>
      <c r="H83" s="14">
        <v>8.1537839278660798</v>
      </c>
      <c r="I83" s="14">
        <v>-0.9526053902500754</v>
      </c>
      <c r="J83" s="14">
        <v>-1.1796567686856503</v>
      </c>
      <c r="K83" s="14">
        <v>-8.7882857249698816</v>
      </c>
      <c r="L83" s="14">
        <v>79.061256725531777</v>
      </c>
      <c r="M83" s="14">
        <v>80.752759237879772</v>
      </c>
      <c r="N83" s="14">
        <v>4.5557525550016038</v>
      </c>
      <c r="O83" s="6">
        <v>4.9561251064577618</v>
      </c>
      <c r="P83" s="6">
        <v>0.17715168445283591</v>
      </c>
      <c r="Q83" s="6">
        <v>0.30775886891143589</v>
      </c>
      <c r="R83" s="6">
        <v>0.16284077212200679</v>
      </c>
      <c r="S83" s="6">
        <v>0.28289706640794715</v>
      </c>
    </row>
    <row r="84" spans="1:19" ht="16" x14ac:dyDescent="0.2">
      <c r="A84" s="4" t="s">
        <v>65</v>
      </c>
      <c r="B84" s="5" t="s">
        <v>66</v>
      </c>
      <c r="C84" s="5" t="s">
        <v>29</v>
      </c>
      <c r="D84" s="4" t="s">
        <v>67</v>
      </c>
      <c r="E84" s="5" t="s">
        <v>68</v>
      </c>
      <c r="F84" s="5">
        <v>6</v>
      </c>
      <c r="G84" s="5" t="str">
        <f t="shared" si="1"/>
        <v>CLIS6</v>
      </c>
      <c r="H84" s="14">
        <v>7.3496442516069767</v>
      </c>
      <c r="I84" s="14">
        <v>-1.0200681944140741</v>
      </c>
      <c r="J84" s="14">
        <v>-1.3163951297034084</v>
      </c>
      <c r="K84" s="14">
        <v>-27.104266091799275</v>
      </c>
      <c r="L84" s="14">
        <v>71.388212563754365</v>
      </c>
      <c r="M84" s="14">
        <v>77.489514462416892</v>
      </c>
      <c r="N84" s="14">
        <v>3.0419366023206735</v>
      </c>
      <c r="O84" s="6">
        <v>3.8664311933575153</v>
      </c>
      <c r="P84" s="6">
        <v>0.24540742957426373</v>
      </c>
      <c r="Q84" s="6">
        <v>0.39568496024043859</v>
      </c>
      <c r="R84" s="6">
        <v>0.1930756827603419</v>
      </c>
      <c r="S84" s="6">
        <v>0.3113073796867375</v>
      </c>
    </row>
    <row r="85" spans="1:19" ht="16" x14ac:dyDescent="0.2">
      <c r="A85" s="4" t="s">
        <v>69</v>
      </c>
      <c r="B85" s="5" t="s">
        <v>40</v>
      </c>
      <c r="C85" s="5" t="s">
        <v>29</v>
      </c>
      <c r="D85" s="4" t="s">
        <v>67</v>
      </c>
      <c r="E85" s="5" t="s">
        <v>70</v>
      </c>
      <c r="F85" s="5">
        <v>1</v>
      </c>
      <c r="G85" s="5" t="str">
        <f t="shared" si="1"/>
        <v>CODI1</v>
      </c>
      <c r="H85" s="6">
        <v>0.94320835881376675</v>
      </c>
      <c r="I85" s="6">
        <v>-2.6539248325266813</v>
      </c>
      <c r="J85" s="6">
        <v>-3.2280536532215951</v>
      </c>
      <c r="K85" s="6">
        <v>26.677622300426165</v>
      </c>
      <c r="L85" s="6">
        <v>86.959172689960994</v>
      </c>
      <c r="M85" s="6">
        <v>82.214396587803506</v>
      </c>
      <c r="N85" s="6">
        <v>20.932560992606085</v>
      </c>
      <c r="O85" s="6">
        <v>15.348251433192297</v>
      </c>
      <c r="P85" s="6">
        <v>3.9341572097499798E-2</v>
      </c>
      <c r="Q85" s="6">
        <v>0.10908459054304158</v>
      </c>
      <c r="R85" s="6">
        <v>5.3655614195566997E-2</v>
      </c>
      <c r="S85" s="6">
        <v>0.14877394046057499</v>
      </c>
    </row>
    <row r="86" spans="1:19" ht="16" x14ac:dyDescent="0.2">
      <c r="A86" s="4" t="s">
        <v>69</v>
      </c>
      <c r="B86" s="5" t="s">
        <v>40</v>
      </c>
      <c r="C86" s="5" t="s">
        <v>29</v>
      </c>
      <c r="D86" s="4" t="s">
        <v>67</v>
      </c>
      <c r="E86" s="5" t="s">
        <v>70</v>
      </c>
      <c r="F86" s="5">
        <v>2</v>
      </c>
      <c r="G86" s="5" t="str">
        <f t="shared" si="1"/>
        <v>CODI2</v>
      </c>
      <c r="H86" s="6">
        <v>0.96088012533992806</v>
      </c>
      <c r="I86" s="6">
        <v>-2.4522654756848867</v>
      </c>
      <c r="J86" s="6">
        <v>-2.96359735895583</v>
      </c>
      <c r="K86" s="6">
        <v>51.459455656180289</v>
      </c>
      <c r="L86" s="6">
        <v>91.624932489794418</v>
      </c>
      <c r="M86" s="6">
        <v>39.009395421167767</v>
      </c>
      <c r="N86" s="6">
        <v>28.284793310555884</v>
      </c>
      <c r="O86" s="6">
        <v>29.123040698093654</v>
      </c>
      <c r="P86" s="6">
        <v>2.9115610510082383E-2</v>
      </c>
      <c r="Q86" s="6">
        <v>8.7377934730199544E-2</v>
      </c>
      <c r="R86" s="6">
        <v>2.8277576985367311E-2</v>
      </c>
      <c r="S86" s="6">
        <v>8.4862938913817437E-2</v>
      </c>
    </row>
    <row r="87" spans="1:19" ht="16" x14ac:dyDescent="0.2">
      <c r="A87" s="4" t="s">
        <v>69</v>
      </c>
      <c r="B87" s="5" t="s">
        <v>40</v>
      </c>
      <c r="C87" s="5" t="s">
        <v>29</v>
      </c>
      <c r="D87" s="4" t="s">
        <v>67</v>
      </c>
      <c r="E87" s="5" t="s">
        <v>70</v>
      </c>
      <c r="F87" s="5">
        <v>3</v>
      </c>
      <c r="G87" s="5" t="str">
        <f t="shared" si="1"/>
        <v>CODI3</v>
      </c>
      <c r="H87" s="6">
        <v>1.0741811423589773</v>
      </c>
      <c r="I87" s="6">
        <v>-2.1839808152911502</v>
      </c>
      <c r="J87" s="6">
        <v>-2.7919932690175346</v>
      </c>
      <c r="K87" s="6">
        <v>39.589895508213125</v>
      </c>
      <c r="L87" s="6">
        <v>86.844489823987487</v>
      </c>
      <c r="M87" s="6">
        <v>45.971084724570019</v>
      </c>
      <c r="N87" s="6">
        <v>17.055136767430294</v>
      </c>
      <c r="O87" s="6">
        <v>17.531315037998684</v>
      </c>
      <c r="P87" s="6">
        <v>6.2706553646145427E-2</v>
      </c>
      <c r="Q87" s="6">
        <v>0.10501497486037292</v>
      </c>
      <c r="R87" s="6">
        <v>4.4987372221212046E-2</v>
      </c>
      <c r="S87" s="6">
        <v>0.1021626018920932</v>
      </c>
    </row>
    <row r="88" spans="1:19" ht="16" x14ac:dyDescent="0.2">
      <c r="A88" s="4" t="s">
        <v>69</v>
      </c>
      <c r="B88" s="5" t="s">
        <v>40</v>
      </c>
      <c r="C88" s="5" t="s">
        <v>29</v>
      </c>
      <c r="D88" s="4" t="s">
        <v>67</v>
      </c>
      <c r="E88" s="5" t="s">
        <v>70</v>
      </c>
      <c r="F88" s="5">
        <v>4</v>
      </c>
      <c r="G88" s="5" t="str">
        <f t="shared" si="1"/>
        <v>CODI4</v>
      </c>
      <c r="H88" s="6">
        <v>0.97617872279711548</v>
      </c>
      <c r="I88" s="6">
        <v>-2.0476114643371943</v>
      </c>
      <c r="J88" s="6">
        <v>-2.6122601169059947</v>
      </c>
      <c r="K88" s="6">
        <v>54.869942442273647</v>
      </c>
      <c r="L88" s="6">
        <v>90.244988994241254</v>
      </c>
      <c r="M88" s="6">
        <v>34.474483372323022</v>
      </c>
      <c r="N88" s="6">
        <v>20.884857563683187</v>
      </c>
      <c r="O88" s="6">
        <v>21.430424368291902</v>
      </c>
      <c r="P88" s="6">
        <v>3.7717101378936198E-2</v>
      </c>
      <c r="Q88" s="6">
        <v>0.13190470825054679</v>
      </c>
      <c r="R88" s="6">
        <v>3.6756915144413711E-2</v>
      </c>
      <c r="S88" s="6">
        <v>7.7945286053388255E-2</v>
      </c>
    </row>
    <row r="89" spans="1:19" ht="16" x14ac:dyDescent="0.2">
      <c r="A89" s="4" t="s">
        <v>69</v>
      </c>
      <c r="B89" s="5" t="s">
        <v>40</v>
      </c>
      <c r="C89" s="5" t="s">
        <v>29</v>
      </c>
      <c r="D89" s="4" t="s">
        <v>67</v>
      </c>
      <c r="E89" s="5" t="s">
        <v>70</v>
      </c>
      <c r="F89" s="5">
        <v>5</v>
      </c>
      <c r="G89" s="5" t="str">
        <f t="shared" si="1"/>
        <v>CODI5</v>
      </c>
      <c r="H89" s="6">
        <v>0.94701791642212318</v>
      </c>
      <c r="I89" s="6">
        <v>-1.744413764816179</v>
      </c>
      <c r="J89" s="6">
        <v>-2.3390688367249326</v>
      </c>
      <c r="K89" s="6">
        <v>63.607855106073508</v>
      </c>
      <c r="L89" s="6">
        <v>90.748124553225139</v>
      </c>
      <c r="M89" s="6">
        <v>26.519949571216152</v>
      </c>
      <c r="N89" s="6">
        <v>18.965082247692408</v>
      </c>
      <c r="O89" s="6">
        <v>16.989223568282128</v>
      </c>
      <c r="P89" s="6">
        <v>3.9833668319861688E-2</v>
      </c>
      <c r="Q89" s="6">
        <v>7.1257616479463909E-2</v>
      </c>
      <c r="R89" s="6">
        <v>3.892322724121481E-2</v>
      </c>
      <c r="S89" s="6">
        <v>6.9628947467902866E-2</v>
      </c>
    </row>
    <row r="90" spans="1:19" ht="16" x14ac:dyDescent="0.2">
      <c r="A90" s="4" t="s">
        <v>69</v>
      </c>
      <c r="B90" s="5" t="s">
        <v>40</v>
      </c>
      <c r="C90" s="5" t="s">
        <v>29</v>
      </c>
      <c r="D90" s="4" t="s">
        <v>67</v>
      </c>
      <c r="E90" s="5" t="s">
        <v>70</v>
      </c>
      <c r="F90" s="5">
        <v>6</v>
      </c>
      <c r="G90" s="5" t="str">
        <f t="shared" si="1"/>
        <v>CODI6</v>
      </c>
      <c r="H90" s="6">
        <v>0.86626254175265749</v>
      </c>
      <c r="I90" s="6">
        <v>-2.3295058718725192</v>
      </c>
      <c r="J90" s="6">
        <v>-2.9333078829237431</v>
      </c>
      <c r="K90" s="6">
        <v>43.214821508084015</v>
      </c>
      <c r="L90" s="6">
        <v>88.311146889515612</v>
      </c>
      <c r="M90" s="6">
        <v>88.644246113435628</v>
      </c>
      <c r="N90" s="6">
        <v>17.585814879716679</v>
      </c>
      <c r="O90" s="6">
        <v>18.101660973859765</v>
      </c>
      <c r="P90" s="6">
        <v>4.3901205675016937E-2</v>
      </c>
      <c r="Q90" s="6">
        <v>9.8034991334090854E-2</v>
      </c>
      <c r="R90" s="6">
        <v>4.265014559228017E-2</v>
      </c>
      <c r="S90" s="6">
        <v>9.52412716062674E-2</v>
      </c>
    </row>
    <row r="91" spans="1:19" ht="16" x14ac:dyDescent="0.2">
      <c r="A91" s="4" t="s">
        <v>69</v>
      </c>
      <c r="B91" s="5" t="s">
        <v>40</v>
      </c>
      <c r="C91" s="5" t="s">
        <v>29</v>
      </c>
      <c r="D91" s="4" t="s">
        <v>25</v>
      </c>
      <c r="E91" s="5" t="s">
        <v>70</v>
      </c>
      <c r="F91" s="5">
        <v>1.1000000000000001</v>
      </c>
      <c r="G91" s="5" t="str">
        <f t="shared" si="1"/>
        <v>CODI1.1</v>
      </c>
      <c r="H91" s="6">
        <v>0.73109249246199925</v>
      </c>
      <c r="I91" s="6">
        <v>-1.3911259659488528</v>
      </c>
      <c r="J91" s="6">
        <v>-2.5743091410296652</v>
      </c>
      <c r="K91" s="6">
        <v>61.715828669712252</v>
      </c>
      <c r="L91" s="6">
        <v>82.404138388837865</v>
      </c>
      <c r="M91" s="6">
        <v>54.038807685406212</v>
      </c>
      <c r="N91" s="6">
        <v>7.1351679451885595</v>
      </c>
      <c r="O91" s="6">
        <v>2.7316399208397475</v>
      </c>
      <c r="P91" s="6">
        <v>7.1277922793116066E-2</v>
      </c>
      <c r="Q91" s="6">
        <v>4.7608297397485441E-2</v>
      </c>
      <c r="R91" s="6">
        <v>0.18618118223895397</v>
      </c>
      <c r="S91" s="6">
        <v>0.12435504215764771</v>
      </c>
    </row>
    <row r="92" spans="1:19" ht="16" x14ac:dyDescent="0.2">
      <c r="A92" s="4" t="s">
        <v>69</v>
      </c>
      <c r="B92" s="5" t="s">
        <v>40</v>
      </c>
      <c r="C92" s="5" t="s">
        <v>29</v>
      </c>
      <c r="D92" s="4" t="s">
        <v>25</v>
      </c>
      <c r="E92" s="5" t="s">
        <v>70</v>
      </c>
      <c r="F92" s="5">
        <v>4.0999999999999996</v>
      </c>
      <c r="G92" s="5" t="str">
        <f t="shared" si="1"/>
        <v>CODI4.1</v>
      </c>
      <c r="H92" s="6">
        <v>0.71082150450558146</v>
      </c>
      <c r="I92" s="6">
        <v>-1.6945338261632719</v>
      </c>
      <c r="J92" s="6">
        <v>-2.2694065545505491</v>
      </c>
      <c r="K92" s="6">
        <v>71.887935535206566</v>
      </c>
      <c r="L92" s="6">
        <v>92.878817077940695</v>
      </c>
      <c r="M92" s="6">
        <v>74.66858781937691</v>
      </c>
      <c r="N92" s="6">
        <v>22.5452878834285</v>
      </c>
      <c r="O92" s="6">
        <v>6.3379458635627337</v>
      </c>
      <c r="P92" s="6">
        <v>3.2498599639717511E-2</v>
      </c>
      <c r="Q92" s="6">
        <v>5.9934027479130909E-2</v>
      </c>
      <c r="R92" s="6">
        <v>0.11560374614399936</v>
      </c>
      <c r="S92" s="6">
        <v>0.21319682001366519</v>
      </c>
    </row>
    <row r="93" spans="1:19" ht="16" x14ac:dyDescent="0.2">
      <c r="A93" s="4" t="s">
        <v>69</v>
      </c>
      <c r="B93" s="5" t="s">
        <v>40</v>
      </c>
      <c r="C93" s="5" t="s">
        <v>29</v>
      </c>
      <c r="D93" s="4" t="s">
        <v>25</v>
      </c>
      <c r="E93" s="5" t="s">
        <v>70</v>
      </c>
      <c r="F93" s="5">
        <v>5.0999999999999996</v>
      </c>
      <c r="G93" s="5" t="str">
        <f t="shared" si="1"/>
        <v>CODI5.1</v>
      </c>
      <c r="H93" s="6">
        <v>0.6407619868038571</v>
      </c>
      <c r="I93" s="6">
        <v>-2.807761550413042</v>
      </c>
      <c r="J93" s="6">
        <v>-3.6990541035908131</v>
      </c>
      <c r="K93" s="6">
        <v>48.287709272259868</v>
      </c>
      <c r="L93" s="6">
        <v>87.539847122361195</v>
      </c>
      <c r="M93" s="6">
        <v>75.90485220768845</v>
      </c>
      <c r="N93" s="6">
        <v>19.890167806225008</v>
      </c>
      <c r="O93" s="6">
        <v>10.285661402190447</v>
      </c>
      <c r="P93" s="6">
        <v>3.7169034354824972E-2</v>
      </c>
      <c r="Q93" s="6">
        <v>9.3616181424942574E-2</v>
      </c>
      <c r="R93" s="6">
        <v>7.1876596127825973E-2</v>
      </c>
      <c r="S93" s="6">
        <v>0.18103274890261992</v>
      </c>
    </row>
    <row r="94" spans="1:19" ht="16" x14ac:dyDescent="0.2">
      <c r="A94" s="4" t="s">
        <v>71</v>
      </c>
      <c r="B94" s="5" t="s">
        <v>72</v>
      </c>
      <c r="C94" s="5" t="s">
        <v>29</v>
      </c>
      <c r="D94" s="4" t="s">
        <v>41</v>
      </c>
      <c r="E94" s="5" t="s">
        <v>73</v>
      </c>
      <c r="F94" s="5">
        <v>1</v>
      </c>
      <c r="G94" s="5" t="str">
        <f t="shared" si="1"/>
        <v>ENCA1</v>
      </c>
      <c r="H94" s="6">
        <v>6.7205114345234911</v>
      </c>
      <c r="I94" s="6">
        <v>-1.0345347630622896</v>
      </c>
      <c r="J94" s="6">
        <v>-1.4455175542522356</v>
      </c>
      <c r="K94" s="6">
        <v>30.955741028855456</v>
      </c>
      <c r="L94" s="6">
        <v>80.369659168697311</v>
      </c>
      <c r="M94" s="6">
        <v>71.568467641159373</v>
      </c>
      <c r="N94" s="6">
        <v>5.6765447023953977</v>
      </c>
      <c r="O94" s="6">
        <v>3.9193282249346639</v>
      </c>
      <c r="P94" s="6">
        <v>0.12747628806074002</v>
      </c>
      <c r="Q94" s="6">
        <v>0.25558577602400817</v>
      </c>
      <c r="R94" s="6">
        <v>0.18462981565783163</v>
      </c>
      <c r="S94" s="6">
        <v>0.3701767240790062</v>
      </c>
    </row>
    <row r="95" spans="1:19" ht="16" x14ac:dyDescent="0.2">
      <c r="A95" s="4" t="s">
        <v>71</v>
      </c>
      <c r="B95" s="5" t="s">
        <v>72</v>
      </c>
      <c r="C95" s="5" t="s">
        <v>29</v>
      </c>
      <c r="D95" s="4" t="s">
        <v>41</v>
      </c>
      <c r="E95" s="5" t="s">
        <v>73</v>
      </c>
      <c r="F95" s="5">
        <v>3</v>
      </c>
      <c r="G95" s="5" t="str">
        <f t="shared" si="1"/>
        <v>ENCA3</v>
      </c>
      <c r="H95" s="6">
        <v>8.0660914339404375</v>
      </c>
      <c r="I95" s="6">
        <v>-0.89464093487341267</v>
      </c>
      <c r="J95" s="6">
        <v>-1.2878988028952876</v>
      </c>
      <c r="K95" s="6">
        <v>27.713049699298153</v>
      </c>
      <c r="L95" s="6">
        <v>77.92729374609992</v>
      </c>
      <c r="M95" s="6">
        <v>69.465157733060749</v>
      </c>
      <c r="N95" s="6">
        <v>4.1459325472731425</v>
      </c>
      <c r="O95" s="6">
        <v>2.9969681999479598</v>
      </c>
      <c r="P95" s="6">
        <v>0.16489461087208543</v>
      </c>
      <c r="Q95" s="6">
        <v>0.31742602824141941</v>
      </c>
      <c r="R95" s="6">
        <v>0.22811117385109048</v>
      </c>
      <c r="S95" s="6">
        <v>0.43911940802728477</v>
      </c>
    </row>
    <row r="96" spans="1:19" ht="16" x14ac:dyDescent="0.2">
      <c r="A96" s="4" t="s">
        <v>71</v>
      </c>
      <c r="B96" s="5" t="s">
        <v>72</v>
      </c>
      <c r="C96" s="5" t="s">
        <v>29</v>
      </c>
      <c r="D96" s="4" t="s">
        <v>41</v>
      </c>
      <c r="E96" s="5" t="s">
        <v>73</v>
      </c>
      <c r="F96" s="5">
        <v>4</v>
      </c>
      <c r="G96" s="5" t="str">
        <f t="shared" si="1"/>
        <v>ENCA4</v>
      </c>
      <c r="H96" s="6">
        <v>9.3233232265856412</v>
      </c>
      <c r="I96" s="6">
        <v>-0.83310737548064706</v>
      </c>
      <c r="J96" s="6">
        <v>-1.246634568402331</v>
      </c>
      <c r="K96" s="6">
        <v>38.563875162247477</v>
      </c>
      <c r="L96" s="6">
        <v>79.620725357631244</v>
      </c>
      <c r="M96" s="6">
        <v>66.82851547653982</v>
      </c>
      <c r="N96" s="6">
        <v>3.8920473887712754</v>
      </c>
      <c r="O96" s="6">
        <v>2.3911230925100075</v>
      </c>
      <c r="P96" s="6">
        <v>0.16410005901644445</v>
      </c>
      <c r="Q96" s="6">
        <v>0.25119181515038874</v>
      </c>
      <c r="R96" s="6">
        <v>0.26710678684539191</v>
      </c>
      <c r="S96" s="6">
        <v>0.40886663313118227</v>
      </c>
    </row>
    <row r="97" spans="1:19" ht="16" x14ac:dyDescent="0.2">
      <c r="A97" s="4" t="s">
        <v>71</v>
      </c>
      <c r="B97" s="5" t="s">
        <v>72</v>
      </c>
      <c r="C97" s="5" t="s">
        <v>29</v>
      </c>
      <c r="D97" s="4" t="s">
        <v>41</v>
      </c>
      <c r="E97" s="5" t="s">
        <v>73</v>
      </c>
      <c r="F97" s="5">
        <v>5</v>
      </c>
      <c r="G97" s="5" t="str">
        <f t="shared" si="1"/>
        <v>ENCA5</v>
      </c>
      <c r="H97" s="6">
        <v>6.0245033041554779</v>
      </c>
      <c r="I97" s="6">
        <v>-1.0722743252726559</v>
      </c>
      <c r="J97" s="6">
        <v>-1.4414723032110064</v>
      </c>
      <c r="K97" s="6">
        <v>22.504318905926539</v>
      </c>
      <c r="L97" s="6">
        <v>80.151371139665258</v>
      </c>
      <c r="M97" s="6">
        <v>74.387438654497245</v>
      </c>
      <c r="N97" s="6">
        <v>5.4185320266816932</v>
      </c>
      <c r="O97" s="6">
        <v>4.1991282993774792</v>
      </c>
      <c r="P97" s="6">
        <v>0.13665169994300266</v>
      </c>
      <c r="Q97" s="6">
        <v>0.28936524603277702</v>
      </c>
      <c r="R97" s="6">
        <v>0.17633460086261921</v>
      </c>
      <c r="S97" s="6">
        <v>0.37339531951659477</v>
      </c>
    </row>
    <row r="98" spans="1:19" ht="16" x14ac:dyDescent="0.2">
      <c r="A98" s="4" t="s">
        <v>71</v>
      </c>
      <c r="B98" s="5" t="s">
        <v>72</v>
      </c>
      <c r="C98" s="5" t="s">
        <v>29</v>
      </c>
      <c r="D98" s="4" t="s">
        <v>41</v>
      </c>
      <c r="E98" s="5" t="s">
        <v>73</v>
      </c>
      <c r="F98" s="5">
        <v>6</v>
      </c>
      <c r="G98" s="5" t="str">
        <f t="shared" si="1"/>
        <v>ENCA6</v>
      </c>
      <c r="H98" s="6">
        <v>6.6279541610589776</v>
      </c>
      <c r="I98" s="6">
        <v>-0.99845448994646713</v>
      </c>
      <c r="J98" s="6">
        <v>-1.4796969610189126</v>
      </c>
      <c r="K98" s="6">
        <v>32.236486380318539</v>
      </c>
      <c r="L98" s="6">
        <v>77.961243685713015</v>
      </c>
      <c r="M98" s="6">
        <v>67.47695752912378</v>
      </c>
      <c r="N98" s="6">
        <v>4.9165416648621356</v>
      </c>
      <c r="O98" s="6">
        <v>3.3316213806861854</v>
      </c>
      <c r="P98" s="6">
        <v>0.14020739524800369</v>
      </c>
      <c r="Q98" s="6">
        <v>0.23675583094570271</v>
      </c>
      <c r="R98" s="6">
        <v>0.20690691458962454</v>
      </c>
      <c r="S98" s="6">
        <v>0.34938541155713621</v>
      </c>
    </row>
    <row r="99" spans="1:19" ht="16" x14ac:dyDescent="0.2">
      <c r="A99" s="4" t="s">
        <v>74</v>
      </c>
      <c r="B99" s="5" t="s">
        <v>72</v>
      </c>
      <c r="C99" s="5" t="s">
        <v>24</v>
      </c>
      <c r="D99" s="4" t="s">
        <v>67</v>
      </c>
      <c r="E99" s="5" t="s">
        <v>75</v>
      </c>
      <c r="F99" s="5">
        <v>1</v>
      </c>
      <c r="G99" s="5" t="str">
        <f t="shared" si="1"/>
        <v>ENFA1</v>
      </c>
      <c r="H99" s="14">
        <v>5.6393773815194441</v>
      </c>
      <c r="I99" s="14">
        <v>-1.0756374695368647</v>
      </c>
      <c r="J99" s="6">
        <v>-1.3790187791573396</v>
      </c>
      <c r="K99" s="6">
        <v>32.235986679790827</v>
      </c>
      <c r="L99" s="6">
        <v>85.092055730534213</v>
      </c>
      <c r="M99" s="6">
        <v>78.000204623329452</v>
      </c>
      <c r="N99" s="6">
        <v>7.8865064592048348</v>
      </c>
      <c r="O99" s="6">
        <v>5.3442132875147212</v>
      </c>
      <c r="P99" s="6">
        <v>0.10128264655943245</v>
      </c>
      <c r="Q99" s="6">
        <v>0.27520498618470113</v>
      </c>
      <c r="R99" s="6">
        <v>0.14946376638118489</v>
      </c>
      <c r="S99" s="6">
        <v>0.40612261981039899</v>
      </c>
    </row>
    <row r="100" spans="1:19" ht="16" x14ac:dyDescent="0.2">
      <c r="A100" s="4" t="s">
        <v>74</v>
      </c>
      <c r="B100" s="5" t="s">
        <v>72</v>
      </c>
      <c r="C100" s="5" t="s">
        <v>24</v>
      </c>
      <c r="D100" s="4" t="s">
        <v>67</v>
      </c>
      <c r="E100" s="5" t="s">
        <v>75</v>
      </c>
      <c r="F100" s="5">
        <v>2</v>
      </c>
      <c r="G100" s="5" t="str">
        <f t="shared" si="1"/>
        <v>ENFA2</v>
      </c>
      <c r="H100" s="14">
        <v>4.5122223665136163</v>
      </c>
      <c r="I100" s="14">
        <v>-1.381804538235867</v>
      </c>
      <c r="J100" s="6">
        <v>-1.7296511850979328</v>
      </c>
      <c r="K100" s="6">
        <v>16.188261038487809</v>
      </c>
      <c r="L100" s="6">
        <v>83.144790917025219</v>
      </c>
      <c r="M100" s="6">
        <v>79.889202524821741</v>
      </c>
      <c r="N100" s="6">
        <v>7.7495816298393203</v>
      </c>
      <c r="O100" s="6">
        <v>6.4950591262102355</v>
      </c>
      <c r="P100" s="6">
        <v>0.10111073841342072</v>
      </c>
      <c r="Q100" s="6">
        <v>0.21427868762087626</v>
      </c>
      <c r="R100" s="6">
        <v>0.12064030607914304</v>
      </c>
      <c r="S100" s="6">
        <v>0.25566667662065662</v>
      </c>
    </row>
    <row r="101" spans="1:19" ht="16" x14ac:dyDescent="0.2">
      <c r="A101" s="4" t="s">
        <v>74</v>
      </c>
      <c r="B101" s="5" t="s">
        <v>72</v>
      </c>
      <c r="C101" s="5" t="s">
        <v>24</v>
      </c>
      <c r="D101" s="4" t="s">
        <v>67</v>
      </c>
      <c r="E101" s="5" t="s">
        <v>75</v>
      </c>
      <c r="F101" s="5">
        <v>3</v>
      </c>
      <c r="G101" s="5" t="str">
        <f t="shared" si="1"/>
        <v>ENFA3</v>
      </c>
      <c r="H101" s="14">
        <v>8.5678190006259083</v>
      </c>
      <c r="I101" s="14">
        <v>-1.056426054259505</v>
      </c>
      <c r="J101" s="6">
        <v>-1.3281741478451738</v>
      </c>
      <c r="K101" s="6">
        <v>27.180864797709617</v>
      </c>
      <c r="L101" s="6">
        <v>85.101004111633827</v>
      </c>
      <c r="M101" s="6">
        <v>79.539724212630375</v>
      </c>
      <c r="N101" s="6">
        <v>6.489307278573949</v>
      </c>
      <c r="O101" s="6">
        <v>4.7254574408768342</v>
      </c>
      <c r="P101" s="6">
        <v>0.11949174441131249</v>
      </c>
      <c r="Q101" s="6">
        <v>0.19359990295980425</v>
      </c>
      <c r="R101" s="6">
        <v>0.16409388010358317</v>
      </c>
      <c r="S101" s="6">
        <v>0.26586405128540297</v>
      </c>
    </row>
    <row r="102" spans="1:19" ht="16" x14ac:dyDescent="0.2">
      <c r="A102" s="4" t="s">
        <v>74</v>
      </c>
      <c r="B102" s="5" t="s">
        <v>72</v>
      </c>
      <c r="C102" s="5" t="s">
        <v>24</v>
      </c>
      <c r="D102" s="4" t="s">
        <v>67</v>
      </c>
      <c r="E102" s="5" t="s">
        <v>75</v>
      </c>
      <c r="F102" s="5">
        <v>4</v>
      </c>
      <c r="G102" s="5" t="str">
        <f t="shared" si="1"/>
        <v>ENFA4</v>
      </c>
      <c r="H102" s="14">
        <v>9.8901368345120844</v>
      </c>
      <c r="I102" s="14">
        <v>-1.0618100222496631</v>
      </c>
      <c r="J102" s="14">
        <v>-1.4017743094719493</v>
      </c>
      <c r="K102" s="6">
        <v>23.716250426203842</v>
      </c>
      <c r="L102" s="6">
        <v>81.499339533288875</v>
      </c>
      <c r="M102" s="6">
        <v>75.747573277302308</v>
      </c>
      <c r="N102" s="6">
        <v>6.4299499486757705</v>
      </c>
      <c r="O102" s="6">
        <v>4.9050069165682588</v>
      </c>
      <c r="P102" s="6">
        <v>0.12029524238546943</v>
      </c>
      <c r="Q102" s="6">
        <v>0.19041437704619099</v>
      </c>
      <c r="R102" s="6">
        <v>0.15769445400569487</v>
      </c>
      <c r="S102" s="6">
        <v>0.2496132899995791</v>
      </c>
    </row>
    <row r="103" spans="1:19" ht="16" x14ac:dyDescent="0.2">
      <c r="A103" s="4" t="s">
        <v>74</v>
      </c>
      <c r="B103" s="5" t="s">
        <v>72</v>
      </c>
      <c r="C103" s="5" t="s">
        <v>24</v>
      </c>
      <c r="D103" s="4" t="s">
        <v>67</v>
      </c>
      <c r="E103" s="5" t="s">
        <v>75</v>
      </c>
      <c r="F103" s="5">
        <v>5</v>
      </c>
      <c r="G103" s="5" t="str">
        <f t="shared" si="1"/>
        <v>ENFA5</v>
      </c>
      <c r="H103" s="14">
        <v>6.0953532522825542</v>
      </c>
      <c r="I103" s="14">
        <v>-1.2532349537722984</v>
      </c>
      <c r="J103" s="6">
        <v>-1.5304811900469366</v>
      </c>
      <c r="K103" s="6">
        <v>4.8535925859130771</v>
      </c>
      <c r="L103" s="6">
        <v>82.764255109989335</v>
      </c>
      <c r="M103" s="6">
        <v>81.885028180834055</v>
      </c>
      <c r="N103" s="6">
        <v>6.6811771489454532</v>
      </c>
      <c r="O103" s="6">
        <v>6.3569000301925129</v>
      </c>
      <c r="P103" s="6">
        <v>0.11972962094044301</v>
      </c>
      <c r="Q103" s="6">
        <v>0.26885645632844829</v>
      </c>
      <c r="R103" s="6">
        <v>0.12583724829395554</v>
      </c>
      <c r="S103" s="6">
        <v>0.28257131681110903</v>
      </c>
    </row>
    <row r="104" spans="1:19" ht="16" x14ac:dyDescent="0.2">
      <c r="A104" s="4" t="s">
        <v>74</v>
      </c>
      <c r="B104" s="5" t="s">
        <v>72</v>
      </c>
      <c r="C104" s="5" t="s">
        <v>24</v>
      </c>
      <c r="D104" s="4" t="s">
        <v>67</v>
      </c>
      <c r="E104" s="5" t="s">
        <v>75</v>
      </c>
      <c r="F104" s="5">
        <v>6</v>
      </c>
      <c r="G104" s="5" t="str">
        <f t="shared" si="1"/>
        <v>ENFA6</v>
      </c>
      <c r="H104" s="14">
        <v>5.1373541287913067</v>
      </c>
      <c r="I104" s="14">
        <v>-1.2867940693964524</v>
      </c>
      <c r="J104" s="6">
        <v>-1.6335256508668523</v>
      </c>
      <c r="K104" s="6">
        <v>22.320602374237339</v>
      </c>
      <c r="L104" s="6">
        <v>83.511798316631342</v>
      </c>
      <c r="M104" s="6">
        <v>78.774035088680606</v>
      </c>
      <c r="N104" s="6">
        <v>7.7697716051645358</v>
      </c>
      <c r="O104" s="6">
        <v>6.0355117797893616</v>
      </c>
      <c r="P104" s="6">
        <v>0.10083583284798224</v>
      </c>
      <c r="Q104" s="6">
        <v>0.1906966667828916</v>
      </c>
      <c r="R104" s="6">
        <v>0.12981026620955627</v>
      </c>
      <c r="S104" s="6">
        <v>0.24549194845924904</v>
      </c>
    </row>
    <row r="105" spans="1:19" ht="16" x14ac:dyDescent="0.2">
      <c r="A105" s="4" t="s">
        <v>74</v>
      </c>
      <c r="B105" s="5" t="s">
        <v>72</v>
      </c>
      <c r="C105" s="5" t="s">
        <v>29</v>
      </c>
      <c r="D105" s="4" t="s">
        <v>41</v>
      </c>
      <c r="E105" s="5" t="s">
        <v>76</v>
      </c>
      <c r="F105" s="5">
        <v>1</v>
      </c>
      <c r="G105" s="5" t="str">
        <f t="shared" si="1"/>
        <v>ENFA_a1</v>
      </c>
      <c r="H105" s="6">
        <v>5.9612322964213824</v>
      </c>
      <c r="I105" s="6">
        <v>-0.75353862171404695</v>
      </c>
      <c r="J105" s="6">
        <v>-1.1246476480606709</v>
      </c>
      <c r="K105" s="6">
        <v>59.841199674102427</v>
      </c>
      <c r="L105" s="6">
        <v>86.748477788673284</v>
      </c>
      <c r="M105" s="6">
        <v>67.002196022322195</v>
      </c>
      <c r="N105" s="6">
        <v>5.7322169261229599</v>
      </c>
      <c r="O105" s="6">
        <v>2.3019895496090461</v>
      </c>
      <c r="P105" s="6">
        <v>0.11358853700760341</v>
      </c>
      <c r="Q105" s="6">
        <v>0.15513997752213887</v>
      </c>
      <c r="R105" s="6">
        <v>0.28284843193971454</v>
      </c>
      <c r="S105" s="6">
        <v>0.38631626508546962</v>
      </c>
    </row>
    <row r="106" spans="1:19" ht="16" x14ac:dyDescent="0.2">
      <c r="A106" s="4" t="s">
        <v>74</v>
      </c>
      <c r="B106" s="5" t="s">
        <v>72</v>
      </c>
      <c r="C106" s="5" t="s">
        <v>29</v>
      </c>
      <c r="D106" s="4" t="s">
        <v>41</v>
      </c>
      <c r="E106" s="5" t="s">
        <v>76</v>
      </c>
      <c r="F106" s="5">
        <v>2</v>
      </c>
      <c r="G106" s="5" t="str">
        <f t="shared" si="1"/>
        <v>ENFA_a2</v>
      </c>
      <c r="H106" s="6">
        <v>7.9043672975673873</v>
      </c>
      <c r="I106" s="6">
        <v>-0.77966743780007375</v>
      </c>
      <c r="J106" s="6">
        <v>-0.9823665925827898</v>
      </c>
      <c r="K106" s="6">
        <v>25.971975889782144</v>
      </c>
      <c r="L106" s="6">
        <v>84.725235944837891</v>
      </c>
      <c r="M106" s="6">
        <v>79.366241043499926</v>
      </c>
      <c r="N106" s="6">
        <v>5.8631239547836538</v>
      </c>
      <c r="O106" s="6">
        <v>4.3403548148592002</v>
      </c>
      <c r="P106" s="6">
        <v>0.13993404378552246</v>
      </c>
      <c r="Q106" s="6">
        <v>0.47105966239310815</v>
      </c>
      <c r="R106" s="6">
        <v>0.18902847329435593</v>
      </c>
      <c r="S106" s="6">
        <v>0.63632613196829779</v>
      </c>
    </row>
    <row r="107" spans="1:19" ht="16" x14ac:dyDescent="0.2">
      <c r="A107" s="4" t="s">
        <v>74</v>
      </c>
      <c r="B107" s="5" t="s">
        <v>72</v>
      </c>
      <c r="C107" s="5" t="s">
        <v>29</v>
      </c>
      <c r="D107" s="4" t="s">
        <v>41</v>
      </c>
      <c r="E107" s="5" t="s">
        <v>76</v>
      </c>
      <c r="F107" s="5">
        <v>4</v>
      </c>
      <c r="G107" s="5" t="str">
        <f t="shared" si="1"/>
        <v>ENFA_a4</v>
      </c>
      <c r="H107" s="6">
        <v>6.1489007053322853</v>
      </c>
      <c r="I107" s="6">
        <v>-0.92735570678196899</v>
      </c>
      <c r="J107" s="6">
        <v>-1.1713319807899003</v>
      </c>
      <c r="K107" s="6">
        <v>49.575994544878853</v>
      </c>
      <c r="L107" s="6">
        <v>89.497203889882783</v>
      </c>
      <c r="M107" s="6">
        <v>79.171039636141131</v>
      </c>
      <c r="N107" s="6">
        <v>8.6272156895513561</v>
      </c>
      <c r="O107" s="6">
        <v>4.3501877099244428</v>
      </c>
      <c r="P107" s="6">
        <v>9.1733634405150713E-2</v>
      </c>
      <c r="Q107" s="6">
        <v>0.26414976386722594</v>
      </c>
      <c r="R107" s="6">
        <v>0.18192452895634476</v>
      </c>
      <c r="S107" s="6">
        <v>0.52385716184789588</v>
      </c>
    </row>
    <row r="108" spans="1:19" ht="16" x14ac:dyDescent="0.2">
      <c r="A108" s="4" t="s">
        <v>74</v>
      </c>
      <c r="B108" s="5" t="s">
        <v>72</v>
      </c>
      <c r="C108" s="5" t="s">
        <v>29</v>
      </c>
      <c r="D108" s="4" t="s">
        <v>41</v>
      </c>
      <c r="E108" s="5" t="s">
        <v>76</v>
      </c>
      <c r="F108" s="5">
        <v>5</v>
      </c>
      <c r="G108" s="5" t="str">
        <f t="shared" si="1"/>
        <v>ENFA_a5</v>
      </c>
      <c r="H108" s="6">
        <v>6.7803259695760918</v>
      </c>
      <c r="I108" s="6">
        <v>-0.8144854377733205</v>
      </c>
      <c r="J108" s="6">
        <v>-0.97127030914221757</v>
      </c>
      <c r="K108" s="6">
        <v>15.80507176727312</v>
      </c>
      <c r="L108" s="6">
        <v>86.409045073621485</v>
      </c>
      <c r="M108" s="6">
        <v>83.857751040762025</v>
      </c>
      <c r="N108" s="6">
        <v>6.6439491478069748</v>
      </c>
      <c r="O108" s="6">
        <v>5.5938682168149478</v>
      </c>
      <c r="P108" s="6">
        <v>0.12852743577306722</v>
      </c>
      <c r="Q108" s="6">
        <v>0.60245965235093923</v>
      </c>
      <c r="R108" s="6">
        <v>5.5225020583497099E-3</v>
      </c>
      <c r="S108" s="6">
        <v>0.71555337714126244</v>
      </c>
    </row>
    <row r="109" spans="1:19" ht="16" x14ac:dyDescent="0.2">
      <c r="A109" s="4" t="s">
        <v>74</v>
      </c>
      <c r="B109" s="5" t="s">
        <v>72</v>
      </c>
      <c r="C109" s="5" t="s">
        <v>29</v>
      </c>
      <c r="D109" s="4" t="s">
        <v>41</v>
      </c>
      <c r="E109" s="5" t="s">
        <v>76</v>
      </c>
      <c r="F109" s="5">
        <v>6</v>
      </c>
      <c r="G109" s="5" t="str">
        <f t="shared" si="1"/>
        <v>ENFA_a6</v>
      </c>
      <c r="H109" s="6">
        <v>6.0498888424280954</v>
      </c>
      <c r="I109" s="6">
        <v>-1.183485819708509</v>
      </c>
      <c r="J109" s="6">
        <v>-1.4526708371685726</v>
      </c>
      <c r="K109" s="6">
        <v>33.881280629553018</v>
      </c>
      <c r="L109" s="6">
        <v>87.747968656917791</v>
      </c>
      <c r="M109" s="6">
        <v>81.469648142401113</v>
      </c>
      <c r="N109" s="6">
        <v>9.3864205200293256</v>
      </c>
      <c r="O109" s="6">
        <v>6.2061810425682431</v>
      </c>
      <c r="P109" s="6">
        <v>8.6592182009495922E-2</v>
      </c>
      <c r="Q109" s="6">
        <v>0.26748424805978321</v>
      </c>
      <c r="R109" s="6">
        <v>0.1309646993075306</v>
      </c>
      <c r="S109" s="6">
        <v>0.40455146531368269</v>
      </c>
    </row>
    <row r="110" spans="1:19" ht="16" x14ac:dyDescent="0.2">
      <c r="A110" s="16" t="s">
        <v>77</v>
      </c>
      <c r="B110" s="17" t="s">
        <v>78</v>
      </c>
      <c r="C110" s="5" t="s">
        <v>29</v>
      </c>
      <c r="D110" s="4" t="s">
        <v>37</v>
      </c>
      <c r="E110" s="5" t="s">
        <v>79</v>
      </c>
      <c r="F110" s="5" t="s">
        <v>80</v>
      </c>
      <c r="G110" s="5" t="str">
        <f t="shared" si="1"/>
        <v>ESCOG21_422_2</v>
      </c>
      <c r="H110" s="6">
        <v>1.3427889788782001</v>
      </c>
      <c r="I110" s="6">
        <v>-1.4452035348705807</v>
      </c>
      <c r="J110" s="6">
        <v>-1.6131281295276834</v>
      </c>
      <c r="K110" s="6">
        <v>-25.462602971056157</v>
      </c>
      <c r="L110" s="6">
        <v>86.939501975761658</v>
      </c>
      <c r="M110" s="6">
        <v>89.590126687191912</v>
      </c>
      <c r="N110" s="6">
        <v>11.862090211158081</v>
      </c>
      <c r="O110" s="6">
        <v>14.882487145693778</v>
      </c>
      <c r="P110" s="6">
        <v>7.6079760737528548E-2</v>
      </c>
      <c r="Q110" s="6">
        <v>0.60110047260404054</v>
      </c>
      <c r="R110" s="6">
        <v>6.0639392883535134E-2</v>
      </c>
      <c r="S110" s="6">
        <v>0.47910728644990164</v>
      </c>
    </row>
    <row r="111" spans="1:19" ht="16" x14ac:dyDescent="0.2">
      <c r="A111" s="16" t="s">
        <v>77</v>
      </c>
      <c r="B111" s="17" t="s">
        <v>78</v>
      </c>
      <c r="C111" s="5" t="s">
        <v>29</v>
      </c>
      <c r="D111" s="4" t="s">
        <v>37</v>
      </c>
      <c r="E111" s="5" t="s">
        <v>79</v>
      </c>
      <c r="F111" s="5" t="s">
        <v>81</v>
      </c>
      <c r="G111" s="5" t="str">
        <f t="shared" si="1"/>
        <v>ESCOG21_422_1</v>
      </c>
      <c r="H111" s="6">
        <v>1.396550661669004</v>
      </c>
      <c r="I111" s="6">
        <v>-1.361825163215524</v>
      </c>
      <c r="J111" s="6">
        <v>-1.4953073843375122</v>
      </c>
      <c r="K111" s="6">
        <v>-36.735814628834135</v>
      </c>
      <c r="L111" s="6">
        <v>87.793947629257801</v>
      </c>
      <c r="M111" s="6">
        <v>91.073258747991375</v>
      </c>
      <c r="N111" s="6">
        <v>12.271440712685154</v>
      </c>
      <c r="O111" s="6">
        <v>16.779454425184451</v>
      </c>
      <c r="P111" s="6">
        <v>7.5109532348787977E-2</v>
      </c>
      <c r="Q111" s="6">
        <v>0.6037318160342019</v>
      </c>
      <c r="R111" s="6">
        <v>5.4930401777084442E-2</v>
      </c>
      <c r="S111" s="6">
        <v>0.44153158971042433</v>
      </c>
    </row>
    <row r="112" spans="1:19" ht="16" x14ac:dyDescent="0.2">
      <c r="A112" s="16" t="s">
        <v>77</v>
      </c>
      <c r="B112" s="17" t="s">
        <v>78</v>
      </c>
      <c r="C112" s="5" t="s">
        <v>29</v>
      </c>
      <c r="D112" s="4" t="s">
        <v>37</v>
      </c>
      <c r="E112" s="5" t="s">
        <v>79</v>
      </c>
      <c r="F112" s="5" t="s">
        <v>82</v>
      </c>
      <c r="G112" s="5" t="str">
        <f t="shared" si="1"/>
        <v>ESCOG21_312_1</v>
      </c>
      <c r="H112" s="6">
        <v>1.5895182197177464</v>
      </c>
      <c r="I112" s="6">
        <v>-1.2329938235888149</v>
      </c>
      <c r="J112" s="6">
        <v>-1.449826306699274</v>
      </c>
      <c r="K112" s="6">
        <v>-9.8582811811858733</v>
      </c>
      <c r="L112" s="6">
        <v>83.569863652843409</v>
      </c>
      <c r="M112" s="6">
        <v>85.044244120241714</v>
      </c>
      <c r="N112" s="6">
        <v>7.8731231553459669</v>
      </c>
      <c r="O112" s="6">
        <v>8.6492777737410247</v>
      </c>
      <c r="P112" s="6">
        <v>0.10880282927788167</v>
      </c>
      <c r="Q112" s="6">
        <v>0.41162260024785807</v>
      </c>
      <c r="R112" s="6">
        <v>9.9039260498201789E-2</v>
      </c>
      <c r="S112" s="6">
        <v>0.37468509048396698</v>
      </c>
    </row>
    <row r="113" spans="1:19" ht="16" x14ac:dyDescent="0.2">
      <c r="A113" s="16" t="s">
        <v>77</v>
      </c>
      <c r="B113" s="17" t="s">
        <v>78</v>
      </c>
      <c r="C113" s="5" t="s">
        <v>29</v>
      </c>
      <c r="D113" s="4" t="s">
        <v>37</v>
      </c>
      <c r="E113" s="5" t="s">
        <v>79</v>
      </c>
      <c r="F113" s="5" t="s">
        <v>83</v>
      </c>
      <c r="G113" s="5" t="str">
        <f t="shared" si="1"/>
        <v>ESCOG21_040_1</v>
      </c>
      <c r="H113" s="6">
        <v>1.4744530513506571</v>
      </c>
      <c r="I113" s="6">
        <v>-1.3504283078641</v>
      </c>
      <c r="J113" s="6">
        <v>-1.5099713448603143</v>
      </c>
      <c r="K113" s="6">
        <v>-31.062671796728949</v>
      </c>
      <c r="L113" s="6">
        <v>86.151964561140332</v>
      </c>
      <c r="M113" s="6">
        <v>89.434035451118206</v>
      </c>
      <c r="N113" s="6">
        <v>10.703416032475351</v>
      </c>
      <c r="O113" s="6">
        <v>14.028183025681626</v>
      </c>
      <c r="P113" s="6">
        <v>8.4539851335408159E-2</v>
      </c>
      <c r="Q113" s="6">
        <v>0.44599413190085968</v>
      </c>
      <c r="R113" s="6">
        <v>6.4503378556577062E-2</v>
      </c>
      <c r="S113" s="6">
        <v>0.34029073708536373</v>
      </c>
    </row>
    <row r="114" spans="1:19" ht="16" x14ac:dyDescent="0.2">
      <c r="A114" s="16" t="s">
        <v>77</v>
      </c>
      <c r="B114" s="17" t="s">
        <v>78</v>
      </c>
      <c r="C114" s="5" t="s">
        <v>29</v>
      </c>
      <c r="D114" s="4" t="s">
        <v>37</v>
      </c>
      <c r="E114" s="5" t="s">
        <v>79</v>
      </c>
      <c r="F114" s="5" t="s">
        <v>84</v>
      </c>
      <c r="G114" s="5" t="str">
        <f t="shared" si="1"/>
        <v>ESCOG21_040_3</v>
      </c>
      <c r="H114" s="6">
        <v>1.3870830400295622</v>
      </c>
      <c r="I114" s="6">
        <v>-1.404689941702123</v>
      </c>
      <c r="J114" s="6">
        <v>-1.5626850492111066</v>
      </c>
      <c r="K114" s="6">
        <v>-45.990673043088009</v>
      </c>
      <c r="L114" s="6">
        <v>85.239628359920701</v>
      </c>
      <c r="M114" s="6">
        <v>89.889510519810472</v>
      </c>
      <c r="N114" s="6">
        <v>11.645034120209958</v>
      </c>
      <c r="O114" s="6">
        <v>17.000663688191747</v>
      </c>
      <c r="P114" s="6">
        <v>7.9126517562086079E-2</v>
      </c>
      <c r="Q114" s="6">
        <v>0.69660107480957523</v>
      </c>
      <c r="R114" s="6">
        <v>5.4199707359889056E-2</v>
      </c>
      <c r="S114" s="6">
        <v>0.47715450603065757</v>
      </c>
    </row>
    <row r="115" spans="1:19" ht="16" x14ac:dyDescent="0.2">
      <c r="A115" s="4" t="s">
        <v>85</v>
      </c>
      <c r="B115" s="5" t="s">
        <v>86</v>
      </c>
      <c r="C115" s="5" t="s">
        <v>24</v>
      </c>
      <c r="D115" s="4" t="s">
        <v>25</v>
      </c>
      <c r="E115" s="5" t="s">
        <v>87</v>
      </c>
      <c r="F115" s="5">
        <v>2</v>
      </c>
      <c r="G115" s="5" t="str">
        <f t="shared" si="1"/>
        <v>FRDI2</v>
      </c>
      <c r="H115" s="6">
        <v>2.7620351441787983</v>
      </c>
      <c r="I115" s="6">
        <v>-1.9730174800755986</v>
      </c>
      <c r="J115" s="6">
        <v>-2.5491114630021201</v>
      </c>
      <c r="K115" s="6">
        <v>-56.857418915970101</v>
      </c>
      <c r="L115" s="6">
        <v>64.550543777143588</v>
      </c>
      <c r="M115" s="6">
        <v>77.400204295184153</v>
      </c>
      <c r="N115" s="6">
        <v>6.0655941263765545</v>
      </c>
      <c r="O115" s="6">
        <v>9.5143343885529443</v>
      </c>
      <c r="P115" s="6">
        <v>0.12913438921746936</v>
      </c>
      <c r="Q115" s="6">
        <v>0.39773354421178592</v>
      </c>
      <c r="R115" s="6">
        <v>8.2325968455880208E-2</v>
      </c>
      <c r="S115" s="6">
        <v>0.25356374404251558</v>
      </c>
    </row>
    <row r="116" spans="1:19" ht="16" x14ac:dyDescent="0.2">
      <c r="A116" s="4" t="s">
        <v>85</v>
      </c>
      <c r="B116" s="5" t="s">
        <v>86</v>
      </c>
      <c r="C116" s="5" t="s">
        <v>24</v>
      </c>
      <c r="D116" s="4" t="s">
        <v>25</v>
      </c>
      <c r="E116" s="5" t="s">
        <v>87</v>
      </c>
      <c r="F116" s="5">
        <v>3</v>
      </c>
      <c r="G116" s="5" t="str">
        <f t="shared" si="1"/>
        <v>FRDI3</v>
      </c>
      <c r="H116" s="6">
        <v>2.4378134068742532</v>
      </c>
      <c r="I116" s="6">
        <v>-1.5248609868310785</v>
      </c>
      <c r="J116" s="6">
        <v>-1.9100348203014965</v>
      </c>
      <c r="K116" s="6">
        <v>-24.689574405802617</v>
      </c>
      <c r="L116" s="6">
        <v>74.855347736489492</v>
      </c>
      <c r="M116" s="6">
        <v>79.834198341493135</v>
      </c>
      <c r="N116" s="6">
        <v>6.0964804397683272</v>
      </c>
      <c r="O116" s="6">
        <v>7.6016755140801369</v>
      </c>
      <c r="P116" s="6">
        <v>0.13280112575193501</v>
      </c>
      <c r="Q116" s="6">
        <v>0.35935221474223294</v>
      </c>
      <c r="R116" s="6">
        <v>0.10650539660977044</v>
      </c>
      <c r="S116" s="6">
        <v>0.28819748279252255</v>
      </c>
    </row>
    <row r="117" spans="1:19" ht="16" x14ac:dyDescent="0.2">
      <c r="A117" s="4" t="s">
        <v>85</v>
      </c>
      <c r="B117" s="5" t="s">
        <v>86</v>
      </c>
      <c r="C117" s="5" t="s">
        <v>24</v>
      </c>
      <c r="D117" s="4" t="s">
        <v>25</v>
      </c>
      <c r="E117" s="5" t="s">
        <v>87</v>
      </c>
      <c r="F117" s="5">
        <v>4</v>
      </c>
      <c r="G117" s="5" t="str">
        <f t="shared" si="1"/>
        <v>FRDI4</v>
      </c>
      <c r="H117" s="6">
        <v>1.9667166996461594</v>
      </c>
      <c r="I117" s="6">
        <v>-1.2713946184631866</v>
      </c>
      <c r="J117" s="6">
        <v>-1.6137609519494316</v>
      </c>
      <c r="K117" s="6">
        <v>-4.4596874346595854</v>
      </c>
      <c r="L117" s="6">
        <v>77.838427593057631</v>
      </c>
      <c r="M117" s="6">
        <v>78.784569482074502</v>
      </c>
      <c r="N117" s="6">
        <v>5.9387314405307441</v>
      </c>
      <c r="O117" s="6">
        <v>6.2035803003622743</v>
      </c>
      <c r="P117" s="6">
        <v>0.13343900804318329</v>
      </c>
      <c r="Q117" s="6">
        <v>0.27662953169056759</v>
      </c>
      <c r="R117" s="6">
        <v>0.12774210924826906</v>
      </c>
      <c r="S117" s="6">
        <v>0.26481941357866107</v>
      </c>
    </row>
    <row r="118" spans="1:19" ht="16" x14ac:dyDescent="0.2">
      <c r="A118" s="4" t="s">
        <v>85</v>
      </c>
      <c r="B118" s="5" t="s">
        <v>86</v>
      </c>
      <c r="C118" s="5" t="s">
        <v>24</v>
      </c>
      <c r="D118" s="4" t="s">
        <v>25</v>
      </c>
      <c r="E118" s="5" t="s">
        <v>87</v>
      </c>
      <c r="F118" s="5">
        <v>5</v>
      </c>
      <c r="G118" s="5" t="str">
        <f t="shared" si="1"/>
        <v>FRDI5</v>
      </c>
      <c r="H118" s="6">
        <v>1.8265174450068127</v>
      </c>
      <c r="I118" s="6">
        <v>-1.8943237764000749</v>
      </c>
      <c r="J118" s="6">
        <v>-2.3317629020783848</v>
      </c>
      <c r="K118" s="6">
        <v>7.4130773931028102</v>
      </c>
      <c r="L118" s="6">
        <v>82.630677227814928</v>
      </c>
      <c r="M118" s="6">
        <v>81.239982620514112</v>
      </c>
      <c r="N118" s="6">
        <v>10.056896990667525</v>
      </c>
      <c r="O118" s="6">
        <v>9.3113714334047195</v>
      </c>
      <c r="P118" s="6">
        <v>7.8900603610106729E-2</v>
      </c>
      <c r="Q118" s="6">
        <v>0.25001974644907959</v>
      </c>
      <c r="R118" s="6">
        <v>8.5217870287254846E-2</v>
      </c>
      <c r="S118" s="6">
        <v>0.27003786216181463</v>
      </c>
    </row>
    <row r="119" spans="1:19" ht="16" x14ac:dyDescent="0.2">
      <c r="A119" s="4" t="s">
        <v>85</v>
      </c>
      <c r="B119" s="5" t="s">
        <v>86</v>
      </c>
      <c r="C119" s="5" t="s">
        <v>24</v>
      </c>
      <c r="D119" s="4" t="s">
        <v>25</v>
      </c>
      <c r="E119" s="5" t="s">
        <v>87</v>
      </c>
      <c r="F119" s="5">
        <v>6</v>
      </c>
      <c r="G119" s="5" t="str">
        <f t="shared" si="1"/>
        <v>FRDI6</v>
      </c>
      <c r="H119" s="6">
        <v>2.5833458640562856</v>
      </c>
      <c r="I119" s="6">
        <v>-2.0929767135762507</v>
      </c>
      <c r="J119" s="6">
        <v>-2.5813710896639215</v>
      </c>
      <c r="K119" s="6">
        <v>-105.36773691776381</v>
      </c>
      <c r="L119" s="6">
        <v>61.144506443842353</v>
      </c>
      <c r="M119" s="6">
        <v>81.080040059205245</v>
      </c>
      <c r="N119" s="6">
        <v>5.1096437173567795</v>
      </c>
      <c r="O119" s="6">
        <v>10.49355966689631</v>
      </c>
      <c r="P119" s="6">
        <v>0.15640316239086341</v>
      </c>
      <c r="Q119" s="6">
        <v>0.54011237200272388</v>
      </c>
      <c r="R119" s="6">
        <v>7.6157611092287886E-2</v>
      </c>
      <c r="S119" s="6">
        <v>0.26299767437131816</v>
      </c>
    </row>
    <row r="120" spans="1:19" ht="16" x14ac:dyDescent="0.2">
      <c r="A120" s="4" t="s">
        <v>88</v>
      </c>
      <c r="B120" s="5" t="s">
        <v>89</v>
      </c>
      <c r="C120" s="5" t="s">
        <v>29</v>
      </c>
      <c r="D120" s="4" t="s">
        <v>37</v>
      </c>
      <c r="E120" s="5" t="s">
        <v>90</v>
      </c>
      <c r="F120" s="5" t="s">
        <v>91</v>
      </c>
      <c r="G120" s="5" t="str">
        <f t="shared" si="1"/>
        <v>GOGLG21_303_2</v>
      </c>
      <c r="H120" s="6">
        <v>1.532540751046894</v>
      </c>
      <c r="I120" s="6">
        <v>-1.0160922813634221</v>
      </c>
      <c r="J120" s="6">
        <v>-1.3658349098478879</v>
      </c>
      <c r="K120" s="6">
        <v>29.66417196898179</v>
      </c>
      <c r="L120" s="6">
        <v>81.989450412466539</v>
      </c>
      <c r="M120" s="6">
        <v>74.393491778342636</v>
      </c>
      <c r="N120" s="6">
        <v>6.102647183227047</v>
      </c>
      <c r="O120" s="6">
        <v>4.2923474281343523</v>
      </c>
      <c r="P120" s="6">
        <v>0.12529513014454891</v>
      </c>
      <c r="Q120" s="6">
        <v>0.19716759612024898</v>
      </c>
      <c r="R120" s="6">
        <v>0.1781384162980118</v>
      </c>
      <c r="S120" s="6">
        <v>0.28032313209321602</v>
      </c>
    </row>
    <row r="121" spans="1:19" ht="16" x14ac:dyDescent="0.2">
      <c r="A121" s="4" t="s">
        <v>88</v>
      </c>
      <c r="B121" s="5" t="s">
        <v>89</v>
      </c>
      <c r="C121" s="5" t="s">
        <v>29</v>
      </c>
      <c r="D121" s="4" t="s">
        <v>37</v>
      </c>
      <c r="E121" s="5" t="s">
        <v>90</v>
      </c>
      <c r="F121" s="5" t="s">
        <v>92</v>
      </c>
      <c r="G121" s="5" t="str">
        <f t="shared" si="1"/>
        <v>GOGLG21_303_1</v>
      </c>
      <c r="H121" s="6">
        <v>1.5482860876732827</v>
      </c>
      <c r="I121" s="6">
        <v>-1.437103727693106</v>
      </c>
      <c r="J121" s="6">
        <v>-1.6840940021638726</v>
      </c>
      <c r="K121" s="6">
        <v>21.720906687858673</v>
      </c>
      <c r="L121" s="6">
        <v>88.519539457033702</v>
      </c>
      <c r="M121" s="6">
        <v>85.333937763960222</v>
      </c>
      <c r="N121" s="6">
        <v>12.136178996976335</v>
      </c>
      <c r="O121" s="6">
        <v>9.5000908815715999</v>
      </c>
      <c r="P121" s="6">
        <v>7.0651094519978891E-2</v>
      </c>
      <c r="Q121" s="6">
        <v>0.23281017549149288</v>
      </c>
      <c r="R121" s="6">
        <v>9.0255381776401744E-2</v>
      </c>
      <c r="S121" s="6">
        <v>0.29741041399541029</v>
      </c>
    </row>
    <row r="122" spans="1:19" ht="16" x14ac:dyDescent="0.2">
      <c r="A122" s="4" t="s">
        <v>88</v>
      </c>
      <c r="B122" s="5" t="s">
        <v>89</v>
      </c>
      <c r="C122" s="5" t="s">
        <v>29</v>
      </c>
      <c r="D122" s="4" t="s">
        <v>37</v>
      </c>
      <c r="E122" s="5" t="s">
        <v>90</v>
      </c>
      <c r="F122" s="5" t="s">
        <v>93</v>
      </c>
      <c r="G122" s="5" t="str">
        <f t="shared" si="1"/>
        <v>GOGLG20_294_2</v>
      </c>
      <c r="H122" s="6">
        <v>1.3035714133367575</v>
      </c>
      <c r="I122" s="6">
        <v>-1.8334640871724668</v>
      </c>
      <c r="J122" s="6">
        <v>-2.2853037930493585</v>
      </c>
      <c r="K122" s="6">
        <v>9.3340337200998675</v>
      </c>
      <c r="L122" s="6">
        <v>82.073944102507582</v>
      </c>
      <c r="M122" s="6">
        <v>80.228462086697604</v>
      </c>
      <c r="N122" s="6">
        <v>10.956729544310537</v>
      </c>
      <c r="O122" s="6">
        <v>9.9340247140244475</v>
      </c>
      <c r="P122" s="6">
        <v>7.4696138598249404E-2</v>
      </c>
      <c r="Q122" s="6">
        <v>0.17754094069728218</v>
      </c>
      <c r="R122" s="6">
        <v>8.2386083403832744E-2</v>
      </c>
      <c r="S122" s="6">
        <v>0.19581872667543629</v>
      </c>
    </row>
    <row r="123" spans="1:19" ht="16" x14ac:dyDescent="0.2">
      <c r="A123" s="4" t="s">
        <v>88</v>
      </c>
      <c r="B123" s="5" t="s">
        <v>89</v>
      </c>
      <c r="C123" s="5" t="s">
        <v>29</v>
      </c>
      <c r="D123" s="4" t="s">
        <v>37</v>
      </c>
      <c r="E123" s="5" t="s">
        <v>90</v>
      </c>
      <c r="F123" s="5" t="s">
        <v>94</v>
      </c>
      <c r="G123" s="5" t="str">
        <f t="shared" si="1"/>
        <v>GOGLG20_294_3</v>
      </c>
      <c r="H123" s="6">
        <v>1.3085117293077653</v>
      </c>
      <c r="I123" s="6">
        <v>-1.5302311179874053</v>
      </c>
      <c r="J123" s="6">
        <v>-1.8952446548828266</v>
      </c>
      <c r="K123" s="6">
        <v>24.986641983044436</v>
      </c>
      <c r="L123" s="6">
        <v>85.552846143832397</v>
      </c>
      <c r="M123" s="6">
        <v>80.740558431070298</v>
      </c>
      <c r="N123" s="6">
        <v>11.375977543076573</v>
      </c>
      <c r="O123" s="6">
        <v>8.5335027623164983</v>
      </c>
      <c r="P123" s="6">
        <v>7.1906442256910008E-2</v>
      </c>
      <c r="Q123" s="6">
        <v>0.20034360690293643</v>
      </c>
      <c r="R123" s="6">
        <v>9.5858183339368269E-2</v>
      </c>
      <c r="S123" s="6">
        <v>0.26707724090641305</v>
      </c>
    </row>
    <row r="124" spans="1:19" ht="16" x14ac:dyDescent="0.2">
      <c r="A124" s="4" t="s">
        <v>88</v>
      </c>
      <c r="B124" s="5" t="s">
        <v>89</v>
      </c>
      <c r="C124" s="5" t="s">
        <v>29</v>
      </c>
      <c r="D124" s="4" t="s">
        <v>37</v>
      </c>
      <c r="E124" s="5" t="s">
        <v>90</v>
      </c>
      <c r="F124" s="5" t="s">
        <v>95</v>
      </c>
      <c r="G124" s="5" t="str">
        <f t="shared" si="1"/>
        <v>GOGLH20_362_2</v>
      </c>
      <c r="H124" s="6">
        <v>2.0033775566607659</v>
      </c>
      <c r="I124" s="6">
        <v>-1.4894447335627892</v>
      </c>
      <c r="J124" s="6">
        <v>-1.7947658426214952</v>
      </c>
      <c r="K124" s="6">
        <v>-4.3862885432891119</v>
      </c>
      <c r="L124" s="6">
        <v>82.242063765818713</v>
      </c>
      <c r="M124" s="6">
        <v>82.988248282419718</v>
      </c>
      <c r="N124" s="6">
        <v>10.000214801868315</v>
      </c>
      <c r="O124" s="6">
        <v>10.438853078026968</v>
      </c>
      <c r="P124" s="6">
        <v>8.6304933191308719E-2</v>
      </c>
      <c r="Q124" s="6">
        <v>0.27431322431867405</v>
      </c>
      <c r="R124" s="6">
        <v>8.2678419163756317E-2</v>
      </c>
      <c r="S124" s="6">
        <v>0.26278664386550787</v>
      </c>
    </row>
    <row r="125" spans="1:19" ht="16" x14ac:dyDescent="0.2">
      <c r="A125" s="4" t="s">
        <v>96</v>
      </c>
      <c r="B125" s="5" t="s">
        <v>97</v>
      </c>
      <c r="C125" s="5" t="s">
        <v>29</v>
      </c>
      <c r="D125" s="4" t="s">
        <v>25</v>
      </c>
      <c r="E125" s="5" t="s">
        <v>98</v>
      </c>
      <c r="F125" s="5">
        <v>1</v>
      </c>
      <c r="G125" s="5" t="str">
        <f t="shared" si="1"/>
        <v>HECA1</v>
      </c>
      <c r="H125" s="6">
        <v>2.7937702583409449</v>
      </c>
      <c r="I125" s="6">
        <v>-1.5658908684564721</v>
      </c>
      <c r="J125" s="6">
        <v>-2.0974264944400063</v>
      </c>
      <c r="K125" s="6">
        <v>56.387057962141526</v>
      </c>
      <c r="L125" s="6">
        <v>88.947487547940966</v>
      </c>
      <c r="M125" s="6">
        <v>74.657723291254143</v>
      </c>
      <c r="N125" s="6">
        <v>13.260401613693302</v>
      </c>
      <c r="O125" s="6">
        <v>5.783251269767308</v>
      </c>
      <c r="P125" s="6">
        <v>5.5299417239247084E-2</v>
      </c>
      <c r="Q125" s="6">
        <v>8.485877395769563E-2</v>
      </c>
      <c r="R125" s="6">
        <v>0.12679588822795793</v>
      </c>
      <c r="S125" s="6">
        <v>0.19457245944112991</v>
      </c>
    </row>
    <row r="126" spans="1:19" ht="16" x14ac:dyDescent="0.2">
      <c r="A126" s="4" t="s">
        <v>96</v>
      </c>
      <c r="B126" s="5" t="s">
        <v>97</v>
      </c>
      <c r="C126" s="5" t="s">
        <v>29</v>
      </c>
      <c r="D126" s="4" t="s">
        <v>25</v>
      </c>
      <c r="E126" s="5" t="s">
        <v>98</v>
      </c>
      <c r="F126" s="5">
        <v>2</v>
      </c>
      <c r="G126" s="5" t="str">
        <f t="shared" si="1"/>
        <v>HECA2</v>
      </c>
      <c r="H126" s="6">
        <v>2.9598628750310527</v>
      </c>
      <c r="I126" s="6">
        <v>-1.4430758218196462</v>
      </c>
      <c r="J126" s="6">
        <v>-1.891255565880406</v>
      </c>
      <c r="K126" s="6">
        <v>59.885459639042239</v>
      </c>
      <c r="L126" s="6">
        <v>90.493868329360438</v>
      </c>
      <c r="M126" s="6">
        <v>76.302528746181068</v>
      </c>
      <c r="N126" s="6">
        <v>12.734134333489939</v>
      </c>
      <c r="O126" s="6">
        <v>5.1082394568264018</v>
      </c>
      <c r="P126" s="6">
        <v>5.7161551960778045E-2</v>
      </c>
      <c r="Q126" s="6">
        <v>9.1724487651217712E-2</v>
      </c>
      <c r="R126" s="6">
        <v>0.14249584177315316</v>
      </c>
      <c r="S126" s="6">
        <v>0.22865645929347453</v>
      </c>
    </row>
    <row r="127" spans="1:19" ht="16" x14ac:dyDescent="0.2">
      <c r="A127" s="4" t="s">
        <v>96</v>
      </c>
      <c r="B127" s="5" t="s">
        <v>97</v>
      </c>
      <c r="C127" s="5" t="s">
        <v>29</v>
      </c>
      <c r="D127" s="4" t="s">
        <v>25</v>
      </c>
      <c r="E127" s="5" t="s">
        <v>98</v>
      </c>
      <c r="F127" s="5">
        <v>3</v>
      </c>
      <c r="G127" s="5" t="str">
        <f t="shared" si="1"/>
        <v>HECA3</v>
      </c>
      <c r="H127" s="6">
        <v>2.6447465002627215</v>
      </c>
      <c r="I127" s="6">
        <v>-1.7028240583071597</v>
      </c>
      <c r="J127" s="6">
        <v>-2.1791195284987377</v>
      </c>
      <c r="K127" s="6">
        <v>63.255368679780659</v>
      </c>
      <c r="L127" s="6">
        <v>91.96863631260409</v>
      </c>
      <c r="M127" s="6">
        <v>78.142756101143632</v>
      </c>
      <c r="N127" s="6">
        <v>16.187213715696501</v>
      </c>
      <c r="O127" s="6">
        <v>5.9479320008486578</v>
      </c>
      <c r="P127" s="6">
        <v>4.5185819371564316E-2</v>
      </c>
      <c r="Q127" s="6">
        <v>7.1030239061921061E-2</v>
      </c>
      <c r="R127" s="6">
        <v>0.12297257517100212</v>
      </c>
      <c r="S127" s="6">
        <v>0.19330780173819748</v>
      </c>
    </row>
    <row r="128" spans="1:19" ht="16" x14ac:dyDescent="0.2">
      <c r="A128" s="4" t="s">
        <v>96</v>
      </c>
      <c r="B128" s="5" t="s">
        <v>97</v>
      </c>
      <c r="C128" s="5" t="s">
        <v>29</v>
      </c>
      <c r="D128" s="4" t="s">
        <v>25</v>
      </c>
      <c r="E128" s="5" t="s">
        <v>98</v>
      </c>
      <c r="F128" s="5">
        <v>4</v>
      </c>
      <c r="G128" s="5" t="str">
        <f t="shared" si="1"/>
        <v>HECA4</v>
      </c>
      <c r="H128" s="6">
        <v>2.6663220177978464</v>
      </c>
      <c r="I128" s="6">
        <v>-1.3359866849391904</v>
      </c>
      <c r="J128" s="6">
        <v>-1.9055708830712137</v>
      </c>
      <c r="K128" s="6">
        <v>64.367180697833675</v>
      </c>
      <c r="L128" s="6">
        <v>89.349180872927306</v>
      </c>
      <c r="M128" s="6">
        <v>70.109524489898646</v>
      </c>
      <c r="N128" s="6">
        <v>12.780573294989175</v>
      </c>
      <c r="O128" s="6">
        <v>4.5540785879844199</v>
      </c>
      <c r="P128" s="6">
        <v>5.567833972859753E-2</v>
      </c>
      <c r="Q128" s="6">
        <v>8.0320311347882964E-2</v>
      </c>
      <c r="R128" s="6">
        <v>0.15625577997756832</v>
      </c>
      <c r="S128" s="6">
        <v>0.22541104779491794</v>
      </c>
    </row>
    <row r="129" spans="1:19" ht="16" x14ac:dyDescent="0.2">
      <c r="A129" s="4" t="s">
        <v>96</v>
      </c>
      <c r="B129" s="5" t="s">
        <v>97</v>
      </c>
      <c r="C129" s="5" t="s">
        <v>29</v>
      </c>
      <c r="D129" s="4" t="s">
        <v>25</v>
      </c>
      <c r="E129" s="5" t="s">
        <v>98</v>
      </c>
      <c r="F129" s="5">
        <v>5</v>
      </c>
      <c r="G129" s="5" t="str">
        <f t="shared" si="1"/>
        <v>HECA5</v>
      </c>
      <c r="H129" s="6">
        <v>3.1905375238346716</v>
      </c>
      <c r="I129" s="6">
        <v>-1.289341729099843</v>
      </c>
      <c r="J129" s="6">
        <v>-1.5971298526611124</v>
      </c>
      <c r="K129" s="6">
        <v>57.162287990704712</v>
      </c>
      <c r="L129" s="6">
        <v>91.74460425053698</v>
      </c>
      <c r="M129" s="6">
        <v>80.728672559188738</v>
      </c>
      <c r="N129" s="6">
        <v>12.175616796937806</v>
      </c>
      <c r="O129" s="6">
        <v>5.2157556588275993</v>
      </c>
      <c r="P129" s="6">
        <v>6.3023911960782913E-2</v>
      </c>
      <c r="Q129" s="6">
        <v>0.11709763508158047</v>
      </c>
      <c r="R129" s="6">
        <v>0.14712249792217535</v>
      </c>
      <c r="S129" s="6">
        <v>0.27335174916945015</v>
      </c>
    </row>
    <row r="130" spans="1:19" ht="16" x14ac:dyDescent="0.2">
      <c r="A130" s="4" t="s">
        <v>96</v>
      </c>
      <c r="B130" s="5" t="s">
        <v>97</v>
      </c>
      <c r="C130" s="5" t="s">
        <v>29</v>
      </c>
      <c r="D130" s="4" t="s">
        <v>25</v>
      </c>
      <c r="E130" s="5" t="s">
        <v>98</v>
      </c>
      <c r="F130" s="5">
        <v>6</v>
      </c>
      <c r="G130" s="5" t="str">
        <f t="shared" si="1"/>
        <v>HECA6</v>
      </c>
      <c r="H130" s="6">
        <v>2.6115093880437046</v>
      </c>
      <c r="I130" s="6">
        <v>-1.6262283004605487</v>
      </c>
      <c r="J130" s="6">
        <v>-2.2184451115949102</v>
      </c>
      <c r="K130" s="6">
        <v>50.294609312766042</v>
      </c>
      <c r="L130" s="6">
        <v>86.731081235623378</v>
      </c>
      <c r="M130" s="6">
        <v>73.304869791950892</v>
      </c>
      <c r="N130" s="6">
        <v>11.111620415069897</v>
      </c>
      <c r="O130" s="6">
        <v>5.5230743389929398</v>
      </c>
      <c r="P130" s="6">
        <v>6.4289955784030101E-2</v>
      </c>
      <c r="Q130" s="6">
        <v>0.11251241436671426</v>
      </c>
      <c r="R130" s="6">
        <v>0.12934201883366739</v>
      </c>
      <c r="S130" s="6">
        <v>0.22635857562147876</v>
      </c>
    </row>
    <row r="131" spans="1:19" ht="16" x14ac:dyDescent="0.2">
      <c r="A131" s="4" t="s">
        <v>99</v>
      </c>
      <c r="B131" s="5" t="s">
        <v>72</v>
      </c>
      <c r="C131" s="5" t="s">
        <v>24</v>
      </c>
      <c r="D131" s="5" t="s">
        <v>100</v>
      </c>
      <c r="E131" s="5" t="s">
        <v>101</v>
      </c>
      <c r="F131" s="5">
        <v>1</v>
      </c>
      <c r="G131" s="5" t="str">
        <f t="shared" si="1"/>
        <v>HEAN1</v>
      </c>
      <c r="H131" s="6">
        <v>11.607661121310691</v>
      </c>
      <c r="I131" s="6">
        <v>-0.93076973116315831</v>
      </c>
      <c r="J131" s="6">
        <v>-1.1946080769652958</v>
      </c>
      <c r="K131" s="6">
        <v>53.647274399351474</v>
      </c>
      <c r="L131" s="6">
        <v>89.762645438525041</v>
      </c>
      <c r="M131" s="6">
        <v>77.91423389063506</v>
      </c>
      <c r="N131" s="6">
        <v>8.1485773340644236</v>
      </c>
      <c r="O131" s="6">
        <v>3.7770876920155221</v>
      </c>
      <c r="P131" s="6">
        <v>9.3270435055067186E-2</v>
      </c>
      <c r="Q131" s="6">
        <v>0.2024065731699097</v>
      </c>
      <c r="R131" s="6">
        <v>0.20121887946490519</v>
      </c>
      <c r="S131" s="6">
        <v>0.4366659577124859</v>
      </c>
    </row>
    <row r="132" spans="1:19" ht="16" x14ac:dyDescent="0.2">
      <c r="A132" s="4" t="s">
        <v>99</v>
      </c>
      <c r="B132" s="5" t="s">
        <v>72</v>
      </c>
      <c r="C132" s="5" t="s">
        <v>24</v>
      </c>
      <c r="D132" s="4" t="s">
        <v>100</v>
      </c>
      <c r="E132" s="5" t="s">
        <v>101</v>
      </c>
      <c r="F132" s="5">
        <v>2</v>
      </c>
      <c r="G132" s="5" t="str">
        <f t="shared" ref="G132:G195" si="2">_xlfn.CONCAT(E132,F132)</f>
        <v>HEAN2</v>
      </c>
      <c r="H132" s="6">
        <v>14.710314149328227</v>
      </c>
      <c r="I132" s="6">
        <v>-0.94407319895171204</v>
      </c>
      <c r="J132" s="6">
        <v>-1.1481823071350044</v>
      </c>
      <c r="K132" s="6">
        <v>20.481004355798845</v>
      </c>
      <c r="L132" s="6">
        <v>85.864133958771603</v>
      </c>
      <c r="M132" s="6">
        <v>82.223283975469499</v>
      </c>
      <c r="N132" s="6">
        <v>5.9642172677584284</v>
      </c>
      <c r="O132" s="6">
        <v>4.7426856693595179</v>
      </c>
      <c r="P132" s="6">
        <v>0.13505685919540009</v>
      </c>
      <c r="Q132" s="6">
        <v>0.39254530041590752</v>
      </c>
      <c r="R132" s="6">
        <v>0.16984225982895571</v>
      </c>
      <c r="S132" s="6">
        <v>0.49364972134747687</v>
      </c>
    </row>
    <row r="133" spans="1:19" ht="16" x14ac:dyDescent="0.2">
      <c r="A133" s="4" t="s">
        <v>99</v>
      </c>
      <c r="B133" s="5" t="s">
        <v>72</v>
      </c>
      <c r="C133" s="5" t="s">
        <v>24</v>
      </c>
      <c r="D133" s="5" t="s">
        <v>100</v>
      </c>
      <c r="E133" s="5" t="s">
        <v>101</v>
      </c>
      <c r="F133" s="5">
        <v>3</v>
      </c>
      <c r="G133" s="5" t="str">
        <f t="shared" si="2"/>
        <v>HEAN3</v>
      </c>
      <c r="H133" s="6">
        <v>9.4068313882588086</v>
      </c>
      <c r="I133" s="6">
        <v>-0.66823789802440781</v>
      </c>
      <c r="J133" s="6">
        <v>-1.0117411121914104</v>
      </c>
      <c r="K133" s="6">
        <v>48.754259568820991</v>
      </c>
      <c r="L133" s="6">
        <v>82.601204657632223</v>
      </c>
      <c r="M133" s="6">
        <v>66.048309194139421</v>
      </c>
      <c r="N133" s="6">
        <v>4.1204346578169169</v>
      </c>
      <c r="O133" s="6">
        <v>2.1115472493812137</v>
      </c>
      <c r="P133" s="6">
        <v>0.16327500036432374</v>
      </c>
      <c r="Q133" s="6">
        <v>0.27455380331127249</v>
      </c>
      <c r="R133" s="6">
        <v>0.31861184752241845</v>
      </c>
      <c r="S133" s="6">
        <v>0.53575926701651855</v>
      </c>
    </row>
    <row r="134" spans="1:19" ht="16" x14ac:dyDescent="0.2">
      <c r="A134" s="4" t="s">
        <v>99</v>
      </c>
      <c r="B134" s="5" t="s">
        <v>72</v>
      </c>
      <c r="C134" s="5" t="s">
        <v>24</v>
      </c>
      <c r="D134" s="5" t="s">
        <v>100</v>
      </c>
      <c r="E134" s="5" t="s">
        <v>101</v>
      </c>
      <c r="F134" s="5">
        <v>5</v>
      </c>
      <c r="G134" s="5" t="str">
        <f t="shared" si="2"/>
        <v>HEAN5</v>
      </c>
      <c r="H134" s="6">
        <v>11.37024303449552</v>
      </c>
      <c r="I134" s="6">
        <v>-0.8306678098559177</v>
      </c>
      <c r="J134" s="6">
        <v>-1.0943505982817836</v>
      </c>
      <c r="K134" s="6">
        <v>14.355690538166343</v>
      </c>
      <c r="L134" s="6">
        <v>79.364080974450928</v>
      </c>
      <c r="M134" s="6">
        <v>75.905090302882044</v>
      </c>
      <c r="N134" s="6">
        <v>3.6061963954960601</v>
      </c>
      <c r="O134" s="6">
        <v>3.0885020007601365</v>
      </c>
      <c r="P134" s="6">
        <v>0.20314549734509207</v>
      </c>
      <c r="Q134" s="6">
        <v>0.50109545423455626</v>
      </c>
      <c r="R134" s="6">
        <v>0.23719672517836274</v>
      </c>
      <c r="S134" s="6">
        <v>0.58508902387480088</v>
      </c>
    </row>
    <row r="135" spans="1:19" ht="16" x14ac:dyDescent="0.2">
      <c r="A135" s="4" t="s">
        <v>99</v>
      </c>
      <c r="B135" s="5" t="s">
        <v>72</v>
      </c>
      <c r="C135" s="5" t="s">
        <v>24</v>
      </c>
      <c r="D135" s="5" t="s">
        <v>100</v>
      </c>
      <c r="E135" s="5" t="s">
        <v>101</v>
      </c>
      <c r="F135" s="5">
        <v>6</v>
      </c>
      <c r="G135" s="5" t="str">
        <f t="shared" si="2"/>
        <v>HEAN6</v>
      </c>
      <c r="H135" s="6">
        <v>10.649785096097133</v>
      </c>
      <c r="I135" s="6">
        <v>-0.49186521299405972</v>
      </c>
      <c r="J135" s="6">
        <v>-0.62053164982578768</v>
      </c>
      <c r="K135" s="6">
        <v>35.055007830001472</v>
      </c>
      <c r="L135" s="6">
        <v>86.533739681248861</v>
      </c>
      <c r="M135" s="6">
        <v>79.265129044126823</v>
      </c>
      <c r="N135" s="6">
        <v>3.799812522847124</v>
      </c>
      <c r="O135" s="6">
        <v>2.4677879454376894</v>
      </c>
      <c r="P135" s="6">
        <v>0.20960743225217349</v>
      </c>
      <c r="Q135" s="6">
        <v>0.63151421031186772</v>
      </c>
      <c r="R135" s="6">
        <v>0.32274610443174706</v>
      </c>
      <c r="S135" s="6">
        <v>0.97238322649855846</v>
      </c>
    </row>
    <row r="136" spans="1:19" ht="16" x14ac:dyDescent="0.2">
      <c r="A136" s="4" t="s">
        <v>102</v>
      </c>
      <c r="B136" s="5" t="s">
        <v>57</v>
      </c>
      <c r="C136" s="5" t="s">
        <v>29</v>
      </c>
      <c r="D136" s="4" t="s">
        <v>41</v>
      </c>
      <c r="E136" s="5" t="s">
        <v>103</v>
      </c>
      <c r="F136" s="5">
        <v>1</v>
      </c>
      <c r="G136" s="5" t="str">
        <f t="shared" si="2"/>
        <v>HEAR1</v>
      </c>
      <c r="H136" s="6">
        <v>1.2613861021180672</v>
      </c>
      <c r="I136" s="6">
        <v>-2.0582291810977962</v>
      </c>
      <c r="J136" s="6">
        <v>-2.4556667049006964</v>
      </c>
      <c r="K136" s="6">
        <v>22.31005153865442</v>
      </c>
      <c r="L136" s="6">
        <v>87.426265673907594</v>
      </c>
      <c r="M136" s="6">
        <v>83.815494056675249</v>
      </c>
      <c r="N136" s="6">
        <v>15.630399436225911</v>
      </c>
      <c r="O136" s="6">
        <v>12.143249266306357</v>
      </c>
      <c r="P136" s="6">
        <v>5.3042017262510323E-2</v>
      </c>
      <c r="Q136" s="6">
        <v>0.12027798280868918</v>
      </c>
      <c r="R136" s="6">
        <v>6.8273976637918926E-2</v>
      </c>
      <c r="S136" s="6">
        <v>0.15481794645356606</v>
      </c>
    </row>
    <row r="137" spans="1:19" ht="16" x14ac:dyDescent="0.2">
      <c r="A137" s="4" t="s">
        <v>102</v>
      </c>
      <c r="B137" s="5" t="s">
        <v>57</v>
      </c>
      <c r="C137" s="5" t="s">
        <v>29</v>
      </c>
      <c r="D137" s="4" t="s">
        <v>41</v>
      </c>
      <c r="E137" s="5" t="s">
        <v>103</v>
      </c>
      <c r="F137" s="5">
        <v>2</v>
      </c>
      <c r="G137" s="5" t="str">
        <f t="shared" si="2"/>
        <v>HEAR2</v>
      </c>
      <c r="H137" s="6">
        <v>1.4235927015776804</v>
      </c>
      <c r="I137" s="6">
        <v>-2.0583511000652819</v>
      </c>
      <c r="J137" s="6">
        <v>-2.4705984393904608</v>
      </c>
      <c r="K137" s="6">
        <v>29.849406102859291</v>
      </c>
      <c r="L137" s="6">
        <v>88.29457866357582</v>
      </c>
      <c r="M137" s="6">
        <v>83.313867087729264</v>
      </c>
      <c r="N137" s="6">
        <v>16.511101648767127</v>
      </c>
      <c r="O137" s="6">
        <v>11.582635865570733</v>
      </c>
      <c r="P137" s="6">
        <v>4.9872982273994199E-2</v>
      </c>
      <c r="Q137" s="6">
        <v>0.13635567330452233</v>
      </c>
      <c r="R137" s="6">
        <v>7.1094169704566071E-2</v>
      </c>
      <c r="S137" s="6">
        <v>0.19437565062450338</v>
      </c>
    </row>
    <row r="138" spans="1:19" ht="16" x14ac:dyDescent="0.2">
      <c r="A138" s="4" t="s">
        <v>102</v>
      </c>
      <c r="B138" s="5" t="s">
        <v>57</v>
      </c>
      <c r="C138" s="5" t="s">
        <v>29</v>
      </c>
      <c r="D138" s="4" t="s">
        <v>41</v>
      </c>
      <c r="E138" s="5" t="s">
        <v>103</v>
      </c>
      <c r="F138" s="5">
        <v>3</v>
      </c>
      <c r="G138" s="5" t="str">
        <f t="shared" si="2"/>
        <v>HEAR3</v>
      </c>
      <c r="H138" s="6">
        <v>1.324953158449476</v>
      </c>
      <c r="I138" s="6">
        <v>-2.4488066950023679</v>
      </c>
      <c r="J138" s="6">
        <v>-2.9137126785144307</v>
      </c>
      <c r="K138" s="6">
        <v>9.1691223793434062</v>
      </c>
      <c r="L138" s="6">
        <v>85.50721256598807</v>
      </c>
      <c r="M138" s="6">
        <v>84.044206316557705</v>
      </c>
      <c r="N138" s="6">
        <v>17.215677753597205</v>
      </c>
      <c r="O138" s="6">
        <v>15.637151191936482</v>
      </c>
      <c r="P138" s="6">
        <v>4.8941074577223707E-2</v>
      </c>
      <c r="Q138" s="6">
        <v>0.14347295495907697</v>
      </c>
      <c r="R138" s="6">
        <v>5.3881538810645162E-2</v>
      </c>
      <c r="S138" s="6">
        <v>0.15795614742188535</v>
      </c>
    </row>
    <row r="139" spans="1:19" ht="16" x14ac:dyDescent="0.2">
      <c r="A139" s="4" t="s">
        <v>102</v>
      </c>
      <c r="B139" s="5" t="s">
        <v>57</v>
      </c>
      <c r="C139" s="5" t="s">
        <v>29</v>
      </c>
      <c r="D139" s="4" t="s">
        <v>41</v>
      </c>
      <c r="E139" s="5" t="s">
        <v>103</v>
      </c>
      <c r="F139" s="5">
        <v>4</v>
      </c>
      <c r="G139" s="5" t="str">
        <f t="shared" si="2"/>
        <v>HEAR4</v>
      </c>
      <c r="H139" s="6">
        <v>1.2671460007013609</v>
      </c>
      <c r="I139" s="6">
        <v>-1.9170705365684464</v>
      </c>
      <c r="J139" s="6">
        <v>-2.431162896035179</v>
      </c>
      <c r="K139" s="6">
        <v>38.868243753831365</v>
      </c>
      <c r="L139" s="6">
        <v>87.073112682745034</v>
      </c>
      <c r="M139" s="6">
        <v>78.854055386205033</v>
      </c>
      <c r="N139" s="6">
        <v>15.010349655132542</v>
      </c>
      <c r="O139" s="6">
        <v>9.1760903628732411</v>
      </c>
      <c r="P139" s="6">
        <v>5.2246264773327458E-2</v>
      </c>
      <c r="Q139" s="6">
        <v>0.11512804308608363</v>
      </c>
      <c r="R139" s="6">
        <v>8.5465015209017378E-2</v>
      </c>
      <c r="S139" s="6">
        <v>0.18832772057534145</v>
      </c>
    </row>
    <row r="140" spans="1:19" ht="16" x14ac:dyDescent="0.2">
      <c r="A140" s="4" t="s">
        <v>102</v>
      </c>
      <c r="B140" s="5" t="s">
        <v>57</v>
      </c>
      <c r="C140" s="5" t="s">
        <v>29</v>
      </c>
      <c r="D140" s="4" t="s">
        <v>41</v>
      </c>
      <c r="E140" s="5" t="s">
        <v>103</v>
      </c>
      <c r="F140" s="5">
        <v>5</v>
      </c>
      <c r="G140" s="5" t="str">
        <f t="shared" si="2"/>
        <v>HEAR5</v>
      </c>
      <c r="H140" s="6">
        <v>1.6180835857041709</v>
      </c>
      <c r="I140" s="6">
        <v>-1.9412946137883882</v>
      </c>
      <c r="J140" s="6">
        <v>-2.3901018478093077</v>
      </c>
      <c r="K140" s="6">
        <v>38.822922219191717</v>
      </c>
      <c r="L140" s="6">
        <v>88.512324238628921</v>
      </c>
      <c r="M140" s="6">
        <v>81.22225484105283</v>
      </c>
      <c r="N140" s="6">
        <v>17.637048849551057</v>
      </c>
      <c r="O140" s="6">
        <v>10.789831092928994</v>
      </c>
      <c r="P140" s="6">
        <v>4.6257672868261282E-2</v>
      </c>
      <c r="Q140" s="6">
        <v>0.11374055336630323</v>
      </c>
      <c r="R140" s="6">
        <v>7.5612753250487413E-2</v>
      </c>
      <c r="S140" s="6">
        <v>0.18592021308017384</v>
      </c>
    </row>
    <row r="141" spans="1:19" ht="16" x14ac:dyDescent="0.2">
      <c r="A141" s="4" t="s">
        <v>102</v>
      </c>
      <c r="B141" s="5" t="s">
        <v>57</v>
      </c>
      <c r="C141" s="5" t="s">
        <v>29</v>
      </c>
      <c r="D141" s="4" t="s">
        <v>41</v>
      </c>
      <c r="E141" s="5" t="s">
        <v>103</v>
      </c>
      <c r="F141" s="5">
        <v>6</v>
      </c>
      <c r="G141" s="5" t="str">
        <f t="shared" si="2"/>
        <v>HEAR6</v>
      </c>
      <c r="H141" s="9">
        <v>1.3723236807730097</v>
      </c>
      <c r="I141" s="9">
        <v>-1.571225416880857</v>
      </c>
      <c r="J141" s="9">
        <v>-2.0394928056763977</v>
      </c>
      <c r="K141" s="9">
        <v>47.872614327119123</v>
      </c>
      <c r="L141" s="9">
        <v>88.031556323297465</v>
      </c>
      <c r="M141" s="9">
        <v>77.040007815068535</v>
      </c>
      <c r="N141" s="9">
        <v>12.559449370232976</v>
      </c>
      <c r="O141" s="9">
        <v>6.5469126116115515</v>
      </c>
      <c r="P141" s="9">
        <v>6.0152170203431388E-2</v>
      </c>
      <c r="Q141" s="9">
        <v>0.10073315236319112</v>
      </c>
      <c r="R141" s="9">
        <v>0.11539456549942688</v>
      </c>
      <c r="S141" s="9">
        <v>0.19324420563757189</v>
      </c>
    </row>
    <row r="142" spans="1:19" ht="16" x14ac:dyDescent="0.2">
      <c r="A142" s="7" t="s">
        <v>104</v>
      </c>
      <c r="B142" s="8" t="s">
        <v>105</v>
      </c>
      <c r="C142" s="8" t="s">
        <v>29</v>
      </c>
      <c r="D142" s="7" t="s">
        <v>25</v>
      </c>
      <c r="E142" s="8" t="s">
        <v>106</v>
      </c>
      <c r="F142" s="8">
        <v>202030</v>
      </c>
      <c r="G142" s="5" t="str">
        <f t="shared" si="2"/>
        <v>KNEMGL202030</v>
      </c>
      <c r="H142" s="9">
        <v>2.057245193697923</v>
      </c>
      <c r="I142" s="9">
        <v>-1.1393997766771815</v>
      </c>
      <c r="J142" s="9">
        <v>-1.3108757818456871</v>
      </c>
      <c r="K142" s="9">
        <v>6.838934445415612E-2</v>
      </c>
      <c r="L142" s="9">
        <v>87.813576557155486</v>
      </c>
      <c r="M142" s="9">
        <f t="shared" ref="M142:M147" si="3">(L142-K142/100)/(1-K142/100)</f>
        <v>87.872988424446689</v>
      </c>
      <c r="N142" s="9">
        <v>10.540846574495923</v>
      </c>
      <c r="O142" s="9">
        <f t="shared" ref="O142:O147" si="4">N142/(1-K142)</f>
        <v>11.314647929096401</v>
      </c>
      <c r="P142" s="9">
        <v>8.4244735866011597E-2</v>
      </c>
      <c r="Q142" s="9">
        <v>0.46582572476689305</v>
      </c>
      <c r="R142" s="12">
        <v>0.66776890262640198</v>
      </c>
      <c r="S142" s="9"/>
    </row>
    <row r="143" spans="1:19" ht="16" x14ac:dyDescent="0.2">
      <c r="A143" s="7" t="s">
        <v>104</v>
      </c>
      <c r="B143" s="8" t="s">
        <v>105</v>
      </c>
      <c r="C143" s="8" t="s">
        <v>29</v>
      </c>
      <c r="D143" s="7" t="s">
        <v>25</v>
      </c>
      <c r="E143" s="8" t="s">
        <v>106</v>
      </c>
      <c r="F143" s="8">
        <v>511010</v>
      </c>
      <c r="G143" s="5" t="str">
        <f t="shared" si="2"/>
        <v>KNEMGL511010</v>
      </c>
      <c r="H143" s="12">
        <v>2.1340613446696346</v>
      </c>
      <c r="I143" s="13">
        <v>-0.78009597145444665</v>
      </c>
      <c r="J143" s="13">
        <v>-0.96383910353388125</v>
      </c>
      <c r="K143" s="9">
        <v>0.59060237827580542</v>
      </c>
      <c r="L143" s="13">
        <v>92.195377734139541</v>
      </c>
      <c r="M143" s="9">
        <f t="shared" si="3"/>
        <v>92.737179699206209</v>
      </c>
      <c r="N143" s="13">
        <v>9.7239719946680321</v>
      </c>
      <c r="O143" s="9">
        <f t="shared" si="4"/>
        <v>23.751901522327199</v>
      </c>
      <c r="P143" s="13">
        <v>8.2826831944715504E-2</v>
      </c>
      <c r="Q143" s="13">
        <v>0.20834006163780794</v>
      </c>
      <c r="R143" s="9">
        <v>0.61483299651795731</v>
      </c>
      <c r="S143" s="9">
        <f>AVERAGE(I131:I135)</f>
        <v>-0.77312277019785114</v>
      </c>
    </row>
    <row r="144" spans="1:19" ht="16" x14ac:dyDescent="0.2">
      <c r="A144" s="7" t="s">
        <v>104</v>
      </c>
      <c r="B144" s="8" t="s">
        <v>105</v>
      </c>
      <c r="C144" s="8" t="s">
        <v>29</v>
      </c>
      <c r="D144" s="7" t="s">
        <v>25</v>
      </c>
      <c r="E144" s="8" t="s">
        <v>106</v>
      </c>
      <c r="F144" s="8">
        <v>617080</v>
      </c>
      <c r="G144" s="5" t="str">
        <f t="shared" si="2"/>
        <v>KNEMGL617080</v>
      </c>
      <c r="H144" s="9">
        <v>2.0507694781994696</v>
      </c>
      <c r="I144" s="9">
        <v>-1.1903183527747057</v>
      </c>
      <c r="J144" s="9">
        <v>-1.4671288214819922</v>
      </c>
      <c r="K144" s="9">
        <v>2.6823007435984869E-2</v>
      </c>
      <c r="L144" s="9">
        <v>81.638587184547433</v>
      </c>
      <c r="M144" s="9">
        <f t="shared" si="3"/>
        <v>81.660222682075329</v>
      </c>
      <c r="N144" s="9">
        <v>6.7188798894541106</v>
      </c>
      <c r="O144" s="9">
        <f t="shared" si="4"/>
        <v>6.9040677500523069</v>
      </c>
      <c r="P144" s="9">
        <v>0.1199597268402826</v>
      </c>
      <c r="Q144" s="9">
        <v>0.45628615529820948</v>
      </c>
      <c r="R144" s="9">
        <v>1.0570832436040498</v>
      </c>
      <c r="S144" s="9"/>
    </row>
    <row r="145" spans="1:19" ht="16" x14ac:dyDescent="0.2">
      <c r="A145" s="7" t="s">
        <v>104</v>
      </c>
      <c r="B145" s="8" t="s">
        <v>105</v>
      </c>
      <c r="C145" s="8" t="s">
        <v>29</v>
      </c>
      <c r="D145" s="7" t="s">
        <v>25</v>
      </c>
      <c r="E145" s="8" t="s">
        <v>106</v>
      </c>
      <c r="F145" s="8">
        <v>921108</v>
      </c>
      <c r="G145" s="5" t="str">
        <f t="shared" si="2"/>
        <v>KNEMGL921108</v>
      </c>
      <c r="H145" s="9">
        <v>2.1408980510267521</v>
      </c>
      <c r="I145" s="9">
        <v>-1.3906077643307315</v>
      </c>
      <c r="J145" s="9">
        <v>-1.9314510044304023</v>
      </c>
      <c r="K145" s="9">
        <v>8.850399900889061E-2</v>
      </c>
      <c r="L145" s="9">
        <v>74.476367798969548</v>
      </c>
      <c r="M145" s="9">
        <f t="shared" si="3"/>
        <v>74.541454927509704</v>
      </c>
      <c r="N145" s="9">
        <v>5.7048747077997843</v>
      </c>
      <c r="O145" s="9">
        <f t="shared" si="4"/>
        <v>6.2588038802108015</v>
      </c>
      <c r="P145" s="9">
        <v>0.12668623823682068</v>
      </c>
      <c r="Q145" s="9">
        <v>0.46885004351294601</v>
      </c>
      <c r="R145" s="9">
        <v>1.1222607066605443</v>
      </c>
      <c r="S145" s="9"/>
    </row>
    <row r="146" spans="1:19" ht="16" x14ac:dyDescent="0.2">
      <c r="A146" s="7" t="s">
        <v>104</v>
      </c>
      <c r="B146" s="8" t="s">
        <v>105</v>
      </c>
      <c r="C146" s="8" t="s">
        <v>29</v>
      </c>
      <c r="D146" s="7" t="s">
        <v>25</v>
      </c>
      <c r="E146" s="8" t="s">
        <v>106</v>
      </c>
      <c r="F146" s="8">
        <v>1021024</v>
      </c>
      <c r="G146" s="5" t="str">
        <f t="shared" si="2"/>
        <v>KNEMGL1021024</v>
      </c>
      <c r="H146" s="9">
        <v>2.2218494444029759</v>
      </c>
      <c r="I146" s="9">
        <v>-1.0702947760315349</v>
      </c>
      <c r="J146" s="9">
        <v>-1.3286536710221959</v>
      </c>
      <c r="K146" s="9">
        <v>0.32409094125684523</v>
      </c>
      <c r="L146" s="9">
        <v>86.856837011806817</v>
      </c>
      <c r="M146" s="9">
        <f t="shared" si="3"/>
        <v>87.135995971913147</v>
      </c>
      <c r="N146" s="9">
        <v>8.0885429256833934</v>
      </c>
      <c r="O146" s="9">
        <f t="shared" si="4"/>
        <v>11.966910076222305</v>
      </c>
      <c r="P146" s="9">
        <v>9.8980296358715109E-2</v>
      </c>
      <c r="Q146" s="9">
        <v>0.2878315751900441</v>
      </c>
      <c r="R146" s="9">
        <v>0.82829836562834225</v>
      </c>
      <c r="S146" s="9"/>
    </row>
    <row r="147" spans="1:19" ht="16" x14ac:dyDescent="0.2">
      <c r="A147" s="7" t="s">
        <v>104</v>
      </c>
      <c r="B147" s="8" t="s">
        <v>105</v>
      </c>
      <c r="C147" s="8" t="s">
        <v>29</v>
      </c>
      <c r="D147" s="7" t="s">
        <v>25</v>
      </c>
      <c r="E147" s="8" t="s">
        <v>106</v>
      </c>
      <c r="F147" s="8">
        <v>1124153</v>
      </c>
      <c r="G147" s="5" t="str">
        <f t="shared" si="2"/>
        <v>KNEMGL1124153</v>
      </c>
      <c r="H147" s="12">
        <v>1.7614822523846672</v>
      </c>
      <c r="I147" s="13">
        <v>-1.0536026278306969</v>
      </c>
      <c r="J147" s="13">
        <v>-1.3449297074097104</v>
      </c>
      <c r="K147" s="9">
        <v>0.55701066801747579</v>
      </c>
      <c r="L147" s="13">
        <v>90.404346958795188</v>
      </c>
      <c r="M147" s="9">
        <f t="shared" si="3"/>
        <v>90.90512811348205</v>
      </c>
      <c r="N147" s="13">
        <v>9.6592995462826003</v>
      </c>
      <c r="O147" s="9">
        <f t="shared" si="4"/>
        <v>21.80481300318008</v>
      </c>
      <c r="P147" s="13">
        <v>7.8244166491666822E-2</v>
      </c>
      <c r="Q147" s="13">
        <v>0.14308412437621246</v>
      </c>
      <c r="R147" s="12">
        <v>0.56677783467579967</v>
      </c>
      <c r="S147" s="9"/>
    </row>
    <row r="148" spans="1:19" ht="16" x14ac:dyDescent="0.2">
      <c r="A148" s="4" t="s">
        <v>107</v>
      </c>
      <c r="B148" s="5" t="s">
        <v>108</v>
      </c>
      <c r="C148" s="5" t="s">
        <v>29</v>
      </c>
      <c r="D148" s="4" t="s">
        <v>37</v>
      </c>
      <c r="E148" s="5" t="s">
        <v>109</v>
      </c>
      <c r="F148" s="5">
        <v>1</v>
      </c>
      <c r="G148" s="5" t="str">
        <f t="shared" si="2"/>
        <v>LACA1</v>
      </c>
      <c r="H148" s="6">
        <v>2.6254088119974699</v>
      </c>
      <c r="I148" s="6">
        <v>-1.13177589383358</v>
      </c>
      <c r="J148" s="6">
        <v>-1.3416776012507485</v>
      </c>
      <c r="K148" s="6">
        <v>-74.87469040893231</v>
      </c>
      <c r="L148" s="6">
        <v>72.641343891658593</v>
      </c>
      <c r="M148" s="6">
        <v>84.355279746677411</v>
      </c>
      <c r="N148" s="6">
        <v>4.1423390310200103</v>
      </c>
      <c r="O148" s="6">
        <v>7.243902556184608</v>
      </c>
      <c r="P148" s="6">
        <v>0.20373147880122014</v>
      </c>
      <c r="Q148" s="6">
        <v>0.8835019391745873</v>
      </c>
      <c r="R148" s="6">
        <v>0.11650140928044435</v>
      </c>
      <c r="S148" s="6">
        <v>0.50522001617762868</v>
      </c>
    </row>
    <row r="149" spans="1:19" ht="16" x14ac:dyDescent="0.2">
      <c r="A149" s="4" t="s">
        <v>107</v>
      </c>
      <c r="B149" s="5" t="s">
        <v>108</v>
      </c>
      <c r="C149" s="5" t="s">
        <v>29</v>
      </c>
      <c r="D149" s="4" t="s">
        <v>37</v>
      </c>
      <c r="E149" s="5" t="s">
        <v>109</v>
      </c>
      <c r="F149" s="5">
        <v>2</v>
      </c>
      <c r="G149" s="5" t="str">
        <f t="shared" si="2"/>
        <v>LACA2</v>
      </c>
      <c r="H149" s="6">
        <v>2.6780520800213181</v>
      </c>
      <c r="I149" s="6">
        <v>-1.1935611698112987</v>
      </c>
      <c r="J149" s="6">
        <v>-1.4701907093204043</v>
      </c>
      <c r="K149" s="6">
        <v>-8.4022587291182589</v>
      </c>
      <c r="L149" s="6">
        <v>79.603144868297719</v>
      </c>
      <c r="M149" s="6">
        <v>81.18410504464569</v>
      </c>
      <c r="N149" s="6">
        <v>5.8573728558995821</v>
      </c>
      <c r="O149" s="6">
        <v>6.3495244779814115</v>
      </c>
      <c r="P149" s="6">
        <v>0.13855053527429981</v>
      </c>
      <c r="Q149" s="6">
        <v>0.51497718849684704</v>
      </c>
      <c r="R149" s="6">
        <v>0.12781148372610729</v>
      </c>
      <c r="S149" s="6">
        <v>0.47506130825530257</v>
      </c>
    </row>
    <row r="150" spans="1:19" ht="16" x14ac:dyDescent="0.2">
      <c r="A150" s="4" t="s">
        <v>107</v>
      </c>
      <c r="B150" s="5" t="s">
        <v>108</v>
      </c>
      <c r="C150" s="5" t="s">
        <v>29</v>
      </c>
      <c r="D150" s="4" t="s">
        <v>37</v>
      </c>
      <c r="E150" s="5" t="s">
        <v>109</v>
      </c>
      <c r="F150" s="5">
        <v>3</v>
      </c>
      <c r="G150" s="5" t="str">
        <f t="shared" si="2"/>
        <v>LACA3</v>
      </c>
      <c r="H150" s="6">
        <v>2.9760755567427384</v>
      </c>
      <c r="I150" s="6">
        <v>-1.1533616030228304</v>
      </c>
      <c r="J150" s="6">
        <v>-1.4373865446132443</v>
      </c>
      <c r="K150" s="6">
        <v>-35.80150423097794</v>
      </c>
      <c r="L150" s="6">
        <v>73.16587215064537</v>
      </c>
      <c r="M150" s="6">
        <v>80.240183640592235</v>
      </c>
      <c r="N150" s="6">
        <v>4.2970055702685332</v>
      </c>
      <c r="O150" s="6">
        <v>5.8353982013135814</v>
      </c>
      <c r="P150" s="6">
        <v>0.18627825036053644</v>
      </c>
      <c r="Q150" s="6">
        <v>0.4678732659602246</v>
      </c>
      <c r="R150" s="6">
        <v>0.13716950442883544</v>
      </c>
      <c r="S150" s="6">
        <v>0.34452730741806903</v>
      </c>
    </row>
    <row r="151" spans="1:19" ht="16" x14ac:dyDescent="0.2">
      <c r="A151" s="4" t="s">
        <v>107</v>
      </c>
      <c r="B151" s="5" t="s">
        <v>108</v>
      </c>
      <c r="C151" s="5" t="s">
        <v>29</v>
      </c>
      <c r="D151" s="4" t="s">
        <v>37</v>
      </c>
      <c r="E151" s="5" t="s">
        <v>109</v>
      </c>
      <c r="F151" s="5">
        <v>4</v>
      </c>
      <c r="G151" s="5" t="str">
        <f t="shared" si="2"/>
        <v>LACA4</v>
      </c>
      <c r="H151" s="6">
        <v>3.1349028526254847</v>
      </c>
      <c r="I151" s="6">
        <v>-0.93965561625044125</v>
      </c>
      <c r="J151" s="6">
        <v>-1.2204180845496317</v>
      </c>
      <c r="K151" s="6">
        <v>34.351631323985274</v>
      </c>
      <c r="L151" s="6">
        <v>84.897308338318396</v>
      </c>
      <c r="M151" s="6">
        <v>76.994566710079539</v>
      </c>
      <c r="N151" s="6">
        <v>5.387752380192766</v>
      </c>
      <c r="O151" s="6">
        <v>3.5369715458997075</v>
      </c>
      <c r="P151" s="6">
        <v>0.1370878933824512</v>
      </c>
      <c r="Q151" s="6">
        <v>0.31593547974782005</v>
      </c>
      <c r="R151" s="6">
        <v>0.20882147743686055</v>
      </c>
      <c r="S151" s="6">
        <v>0.4812541211907454</v>
      </c>
    </row>
    <row r="152" spans="1:19" ht="16" x14ac:dyDescent="0.2">
      <c r="A152" s="4" t="s">
        <v>107</v>
      </c>
      <c r="B152" s="5" t="s">
        <v>108</v>
      </c>
      <c r="C152" s="5" t="s">
        <v>29</v>
      </c>
      <c r="D152" s="4" t="s">
        <v>37</v>
      </c>
      <c r="E152" s="5" t="s">
        <v>109</v>
      </c>
      <c r="F152" s="5">
        <v>5</v>
      </c>
      <c r="G152" s="5" t="str">
        <f t="shared" si="2"/>
        <v>LACA5</v>
      </c>
      <c r="H152" s="6">
        <v>2.2528046437520897</v>
      </c>
      <c r="I152" s="6">
        <v>-1.0739767158674507</v>
      </c>
      <c r="J152" s="6">
        <v>-1.3878270638374057</v>
      </c>
      <c r="K152" s="6">
        <v>10.744981833527603</v>
      </c>
      <c r="L152" s="6">
        <v>79.81541127166409</v>
      </c>
      <c r="M152" s="6">
        <v>77.385485832640811</v>
      </c>
      <c r="N152" s="6">
        <v>4.5576372584981888</v>
      </c>
      <c r="O152" s="6">
        <v>4.0679199630344733</v>
      </c>
      <c r="P152" s="6">
        <v>0.16504398434726303</v>
      </c>
      <c r="Q152" s="6">
        <v>0.41866024218659714</v>
      </c>
      <c r="R152" s="6">
        <v>0.18491283486093094</v>
      </c>
      <c r="S152" s="6">
        <v>0.4690607327038358</v>
      </c>
    </row>
    <row r="153" spans="1:19" ht="16" x14ac:dyDescent="0.2">
      <c r="A153" s="16" t="s">
        <v>110</v>
      </c>
      <c r="B153" s="18" t="s">
        <v>111</v>
      </c>
      <c r="C153" s="5" t="s">
        <v>29</v>
      </c>
      <c r="D153" s="4" t="s">
        <v>37</v>
      </c>
      <c r="E153" s="5" t="s">
        <v>112</v>
      </c>
      <c r="F153" s="5" t="s">
        <v>113</v>
      </c>
      <c r="G153" s="5" t="str">
        <f t="shared" si="2"/>
        <v>LIALH20_417_3</v>
      </c>
      <c r="H153" s="6">
        <v>1.2069165630566276</v>
      </c>
      <c r="I153" s="6">
        <v>-1.4581938113675033</v>
      </c>
      <c r="J153" s="6">
        <v>-1.7150304458971906</v>
      </c>
      <c r="K153" s="6">
        <v>31.293331647172749</v>
      </c>
      <c r="L153" s="6">
        <v>89.710742738298094</v>
      </c>
      <c r="M153" s="6">
        <v>85.024368800909102</v>
      </c>
      <c r="N153" s="6">
        <v>14.407428554833373</v>
      </c>
      <c r="O153" s="6">
        <v>9.8988641553398971</v>
      </c>
      <c r="P153" s="6">
        <v>5.91773637335141E-2</v>
      </c>
      <c r="Q153" s="6">
        <v>0.26397697042130031</v>
      </c>
      <c r="R153" s="6">
        <v>8.6130451602779518E-2</v>
      </c>
      <c r="S153" s="6">
        <v>0.38420866089111977</v>
      </c>
    </row>
    <row r="154" spans="1:19" ht="16" x14ac:dyDescent="0.2">
      <c r="A154" s="16" t="s">
        <v>110</v>
      </c>
      <c r="B154" s="18" t="s">
        <v>111</v>
      </c>
      <c r="C154" s="5" t="s">
        <v>29</v>
      </c>
      <c r="D154" s="4" t="s">
        <v>37</v>
      </c>
      <c r="E154" s="5" t="s">
        <v>112</v>
      </c>
      <c r="F154" s="5" t="s">
        <v>114</v>
      </c>
      <c r="G154" s="5" t="str">
        <f t="shared" si="2"/>
        <v>LIALH20_417_1</v>
      </c>
      <c r="H154" s="6">
        <v>1.1460362763063097</v>
      </c>
      <c r="I154" s="6">
        <v>-1.6958624782441867</v>
      </c>
      <c r="J154" s="6">
        <v>-1.9045889090530144</v>
      </c>
      <c r="K154" s="6">
        <v>22.6434613308368</v>
      </c>
      <c r="L154" s="6">
        <v>91.522394077067446</v>
      </c>
      <c r="M154" s="6">
        <v>89.040867043974913</v>
      </c>
      <c r="N154" s="6">
        <v>23.362026474070156</v>
      </c>
      <c r="O154" s="6">
        <v>18.072055043314215</v>
      </c>
      <c r="P154" s="6">
        <v>3.8996733202436434E-2</v>
      </c>
      <c r="Q154" s="6">
        <v>0.307371575131133</v>
      </c>
      <c r="R154" s="6">
        <v>5.041168319231145E-2</v>
      </c>
      <c r="S154" s="6">
        <v>0.39734401308426326</v>
      </c>
    </row>
    <row r="155" spans="1:19" ht="16" x14ac:dyDescent="0.2">
      <c r="A155" s="16" t="s">
        <v>110</v>
      </c>
      <c r="B155" s="18" t="s">
        <v>111</v>
      </c>
      <c r="C155" s="5" t="s">
        <v>29</v>
      </c>
      <c r="D155" s="4" t="s">
        <v>37</v>
      </c>
      <c r="E155" s="5" t="s">
        <v>112</v>
      </c>
      <c r="F155" s="5" t="s">
        <v>115</v>
      </c>
      <c r="G155" s="5" t="str">
        <f t="shared" si="2"/>
        <v>LIALH20_329_1</v>
      </c>
      <c r="H155" s="6">
        <v>0.80421238679874807</v>
      </c>
      <c r="I155" s="6">
        <v>-1.8809704727162126</v>
      </c>
      <c r="J155" s="6">
        <v>-2.1357052707952557</v>
      </c>
      <c r="K155" s="6">
        <v>50.355340031344483</v>
      </c>
      <c r="L155" s="6">
        <v>94.078666843337786</v>
      </c>
      <c r="M155" s="6">
        <v>88.072567804068342</v>
      </c>
      <c r="N155" s="6">
        <v>28.123129227527571</v>
      </c>
      <c r="O155" s="6">
        <v>13.96163187755163</v>
      </c>
      <c r="P155" s="6">
        <v>3.090949125863671E-2</v>
      </c>
      <c r="Q155" s="6">
        <v>0.14380706909293736</v>
      </c>
      <c r="R155" s="6">
        <v>6.2261462316696818E-2</v>
      </c>
      <c r="S155" s="6">
        <v>0.28967278491530529</v>
      </c>
    </row>
    <row r="156" spans="1:19" ht="16" x14ac:dyDescent="0.2">
      <c r="A156" s="16" t="s">
        <v>110</v>
      </c>
      <c r="B156" s="18" t="s">
        <v>111</v>
      </c>
      <c r="C156" s="5" t="s">
        <v>29</v>
      </c>
      <c r="D156" s="4" t="s">
        <v>37</v>
      </c>
      <c r="E156" s="5" t="s">
        <v>112</v>
      </c>
      <c r="F156" s="5" t="s">
        <v>116</v>
      </c>
      <c r="G156" s="5" t="str">
        <f t="shared" si="2"/>
        <v>LIALH20_329_2</v>
      </c>
      <c r="H156" s="6">
        <v>0.87795726590523726</v>
      </c>
      <c r="I156" s="6">
        <v>-2.1674986754636367</v>
      </c>
      <c r="J156" s="6">
        <v>-2.3309516095127587</v>
      </c>
      <c r="K156" s="6">
        <v>35.659065367378275</v>
      </c>
      <c r="L156" s="6">
        <v>95.488231286207139</v>
      </c>
      <c r="M156" s="6">
        <v>92.987716545377424</v>
      </c>
      <c r="N156" s="6">
        <v>38.654277773686374</v>
      </c>
      <c r="O156" s="6">
        <v>24.870523595079558</v>
      </c>
      <c r="P156" s="6">
        <v>2.3990679464388064E-2</v>
      </c>
      <c r="Q156" s="6">
        <v>0.19445713053340891</v>
      </c>
      <c r="R156" s="6">
        <v>3.7286805983425188E-2</v>
      </c>
      <c r="S156" s="6">
        <v>0.30222925986968263</v>
      </c>
    </row>
    <row r="157" spans="1:19" ht="16" x14ac:dyDescent="0.2">
      <c r="A157" s="16" t="s">
        <v>110</v>
      </c>
      <c r="B157" s="18" t="s">
        <v>111</v>
      </c>
      <c r="C157" s="5" t="s">
        <v>29</v>
      </c>
      <c r="D157" s="4" t="s">
        <v>37</v>
      </c>
      <c r="E157" s="5" t="s">
        <v>112</v>
      </c>
      <c r="F157" s="5" t="s">
        <v>117</v>
      </c>
      <c r="G157" s="5" t="str">
        <f t="shared" si="2"/>
        <v>LIALH20_280_1</v>
      </c>
      <c r="H157" s="6">
        <v>0.40096550346286092</v>
      </c>
      <c r="I157" s="6">
        <v>-1.6575937761710566</v>
      </c>
      <c r="J157" s="6">
        <v>-2.0574432236723483</v>
      </c>
      <c r="K157" s="6">
        <v>-2.6692569003784854</v>
      </c>
      <c r="L157" s="6">
        <v>80.046960628293789</v>
      </c>
      <c r="M157" s="6">
        <v>80.565711709526681</v>
      </c>
      <c r="N157" s="6">
        <v>7.0718769946823947</v>
      </c>
      <c r="O157" s="6">
        <v>7.2606435593492318</v>
      </c>
      <c r="P157" s="6">
        <v>0.11030242120855586</v>
      </c>
      <c r="Q157" s="6">
        <v>0.31793207508915089</v>
      </c>
      <c r="R157" s="6">
        <v>0.10743471272572272</v>
      </c>
      <c r="S157" s="6">
        <v>0.3096662863720207</v>
      </c>
    </row>
    <row r="158" spans="1:19" ht="16" x14ac:dyDescent="0.2">
      <c r="A158" s="16" t="s">
        <v>110</v>
      </c>
      <c r="B158" s="18" t="s">
        <v>111</v>
      </c>
      <c r="C158" s="5" t="s">
        <v>29</v>
      </c>
      <c r="D158" s="4" t="s">
        <v>37</v>
      </c>
      <c r="E158" s="5" t="s">
        <v>112</v>
      </c>
      <c r="F158" s="5" t="s">
        <v>118</v>
      </c>
      <c r="G158" s="5" t="str">
        <f t="shared" si="2"/>
        <v>LIALH20_280_2</v>
      </c>
      <c r="H158" s="6">
        <v>0.85737605251785731</v>
      </c>
      <c r="I158" s="6">
        <v>-1.5474833561936205</v>
      </c>
      <c r="J158" s="6">
        <v>-1.8432723518570153</v>
      </c>
      <c r="K158" s="6">
        <v>64.549395239310485</v>
      </c>
      <c r="L158" s="6">
        <v>94.311259121713491</v>
      </c>
      <c r="M158" s="6">
        <v>83.95304983740462</v>
      </c>
      <c r="N158" s="6">
        <v>23.644285106391223</v>
      </c>
      <c r="O158" s="6">
        <v>8.3820420615573319</v>
      </c>
      <c r="P158" s="6">
        <v>3.4835259843045495E-2</v>
      </c>
      <c r="Q158" s="6">
        <v>0.11478076235412428</v>
      </c>
      <c r="R158" s="6">
        <v>9.8264218842533335E-2</v>
      </c>
      <c r="S158" s="6">
        <v>0.3237765988167367</v>
      </c>
    </row>
    <row r="159" spans="1:19" ht="16" x14ac:dyDescent="0.2">
      <c r="A159" s="4" t="s">
        <v>119</v>
      </c>
      <c r="B159" s="5" t="s">
        <v>120</v>
      </c>
      <c r="C159" s="5" t="s">
        <v>29</v>
      </c>
      <c r="D159" s="4" t="s">
        <v>25</v>
      </c>
      <c r="E159" s="5" t="s">
        <v>121</v>
      </c>
      <c r="F159" s="5">
        <v>1</v>
      </c>
      <c r="G159" s="5" t="str">
        <f t="shared" si="2"/>
        <v>MAGR1</v>
      </c>
      <c r="H159" s="6">
        <v>1.5800911459391098</v>
      </c>
      <c r="I159" s="6">
        <v>-1.3552783095072463</v>
      </c>
      <c r="J159" s="6">
        <v>-2.0798239231586173</v>
      </c>
      <c r="K159" s="6">
        <v>64.531078348600829</v>
      </c>
      <c r="L159" s="6">
        <v>87.643736896517325</v>
      </c>
      <c r="M159" s="6">
        <v>65.163127244396364</v>
      </c>
      <c r="N159" s="6">
        <v>10.767280545773813</v>
      </c>
      <c r="O159" s="6">
        <v>3.8190383007668602</v>
      </c>
      <c r="P159" s="6">
        <v>6.0056298026077905E-2</v>
      </c>
      <c r="Q159" s="6">
        <v>4.1813804008564444E-2</v>
      </c>
      <c r="R159" s="6">
        <v>0.16932090187666815</v>
      </c>
      <c r="S159" s="6">
        <v>0.11788856853198129</v>
      </c>
    </row>
    <row r="160" spans="1:19" ht="16" x14ac:dyDescent="0.2">
      <c r="A160" s="4" t="s">
        <v>119</v>
      </c>
      <c r="B160" s="5" t="s">
        <v>120</v>
      </c>
      <c r="C160" s="5" t="s">
        <v>29</v>
      </c>
      <c r="D160" s="4" t="s">
        <v>25</v>
      </c>
      <c r="E160" s="5" t="s">
        <v>121</v>
      </c>
      <c r="F160" s="5">
        <v>2</v>
      </c>
      <c r="G160" s="5" t="str">
        <f t="shared" si="2"/>
        <v>MAGR2</v>
      </c>
      <c r="H160" s="6">
        <v>1.6403201062204398</v>
      </c>
      <c r="I160" s="6">
        <v>-1.4391071627228307</v>
      </c>
      <c r="J160" s="6">
        <v>-2.0294015789960378</v>
      </c>
      <c r="K160" s="6">
        <v>67.565037707152953</v>
      </c>
      <c r="L160" s="6">
        <v>90.565604495601406</v>
      </c>
      <c r="M160" s="6">
        <v>70.912882773786407</v>
      </c>
      <c r="N160" s="6">
        <v>15.131297780001482</v>
      </c>
      <c r="O160" s="6">
        <v>4.9078307293618835</v>
      </c>
      <c r="P160" s="6">
        <v>4.6473739693723225E-2</v>
      </c>
      <c r="Q160" s="6">
        <v>8.2848051792444727E-2</v>
      </c>
      <c r="R160" s="6">
        <v>0.14328285408234365</v>
      </c>
      <c r="S160" s="6">
        <v>0.2554282352617856</v>
      </c>
    </row>
    <row r="161" spans="1:19" ht="16" x14ac:dyDescent="0.2">
      <c r="A161" s="4" t="s">
        <v>119</v>
      </c>
      <c r="B161" s="5" t="s">
        <v>120</v>
      </c>
      <c r="C161" s="5" t="s">
        <v>29</v>
      </c>
      <c r="D161" s="4" t="s">
        <v>25</v>
      </c>
      <c r="E161" s="5" t="s">
        <v>121</v>
      </c>
      <c r="F161" s="5">
        <v>3</v>
      </c>
      <c r="G161" s="5" t="str">
        <f t="shared" si="2"/>
        <v>MAGR3</v>
      </c>
      <c r="H161" s="6">
        <v>1.3006933659756965</v>
      </c>
      <c r="I161" s="6">
        <v>-1.5240304313748152</v>
      </c>
      <c r="J161" s="6">
        <v>-1.9945415700133997</v>
      </c>
      <c r="K161" s="6">
        <v>66.100512525923577</v>
      </c>
      <c r="L161" s="6">
        <v>92.00313160152136</v>
      </c>
      <c r="M161" s="6">
        <v>76.410061053005606</v>
      </c>
      <c r="N161" s="6">
        <v>16.818019002819128</v>
      </c>
      <c r="O161" s="6">
        <v>5.701222245248462</v>
      </c>
      <c r="P161" s="6">
        <v>4.385147915401786E-2</v>
      </c>
      <c r="Q161" s="6">
        <v>9.8118476555790812E-2</v>
      </c>
      <c r="R161" s="6">
        <v>0.12935735145716265</v>
      </c>
      <c r="S161" s="6">
        <v>0.28943941005251206</v>
      </c>
    </row>
    <row r="162" spans="1:19" ht="16" x14ac:dyDescent="0.2">
      <c r="A162" s="4" t="s">
        <v>119</v>
      </c>
      <c r="B162" s="5" t="s">
        <v>120</v>
      </c>
      <c r="C162" s="5" t="s">
        <v>29</v>
      </c>
      <c r="D162" s="4" t="s">
        <v>25</v>
      </c>
      <c r="E162" s="5" t="s">
        <v>121</v>
      </c>
      <c r="F162" s="5">
        <v>4</v>
      </c>
      <c r="G162" s="5" t="str">
        <f t="shared" si="2"/>
        <v>MAGR4</v>
      </c>
      <c r="H162" s="6">
        <v>1.2293993382507917</v>
      </c>
      <c r="I162" s="6">
        <v>-1.4227708531876824</v>
      </c>
      <c r="J162" s="6">
        <v>-1.9073477624190491</v>
      </c>
      <c r="K162" s="6">
        <v>68.920169558894941</v>
      </c>
      <c r="L162" s="6">
        <v>92.103921229611203</v>
      </c>
      <c r="M162" s="6">
        <v>74.594202547689179</v>
      </c>
      <c r="N162" s="6">
        <v>16.439888710311465</v>
      </c>
      <c r="O162" s="6">
        <v>5.1094895358711749</v>
      </c>
      <c r="P162" s="6">
        <v>4.4266864116626489E-2</v>
      </c>
      <c r="Q162" s="6">
        <v>8.8024088337417178E-2</v>
      </c>
      <c r="R162" s="6">
        <v>0.14242955475741834</v>
      </c>
      <c r="S162" s="6">
        <v>0.28321933256431031</v>
      </c>
    </row>
    <row r="163" spans="1:19" ht="16" x14ac:dyDescent="0.2">
      <c r="A163" s="4" t="s">
        <v>119</v>
      </c>
      <c r="B163" s="5" t="s">
        <v>120</v>
      </c>
      <c r="C163" s="5" t="s">
        <v>29</v>
      </c>
      <c r="D163" s="4" t="s">
        <v>25</v>
      </c>
      <c r="E163" s="5" t="s">
        <v>121</v>
      </c>
      <c r="F163" s="5">
        <v>5</v>
      </c>
      <c r="G163" s="5" t="str">
        <f t="shared" si="2"/>
        <v>MAGR5</v>
      </c>
      <c r="H163" s="6">
        <v>1.6027208447213641</v>
      </c>
      <c r="I163" s="6">
        <v>-1.4279661807035908</v>
      </c>
      <c r="J163" s="6">
        <v>-2.0708853760745534</v>
      </c>
      <c r="K163" s="6">
        <v>65.545572187789361</v>
      </c>
      <c r="L163" s="6">
        <v>89.303409419992974</v>
      </c>
      <c r="M163" s="6">
        <v>68.954380440425851</v>
      </c>
      <c r="N163" s="6">
        <v>11.787376282136165</v>
      </c>
      <c r="O163" s="6">
        <v>4.0612730520822682</v>
      </c>
      <c r="P163" s="6">
        <v>5.6035074481410443E-2</v>
      </c>
      <c r="Q163" s="6">
        <v>8.3129946546977085E-2</v>
      </c>
      <c r="R163" s="6">
        <v>0.15121985197290341</v>
      </c>
      <c r="S163" s="6">
        <v>0.24127507500651554</v>
      </c>
    </row>
    <row r="164" spans="1:19" ht="16" x14ac:dyDescent="0.2">
      <c r="A164" s="4" t="s">
        <v>119</v>
      </c>
      <c r="B164" s="5" t="s">
        <v>120</v>
      </c>
      <c r="C164" s="5" t="s">
        <v>29</v>
      </c>
      <c r="D164" s="4" t="s">
        <v>25</v>
      </c>
      <c r="E164" s="5" t="s">
        <v>121</v>
      </c>
      <c r="F164" s="5">
        <v>6</v>
      </c>
      <c r="G164" s="5" t="str">
        <f t="shared" si="2"/>
        <v>MAGR6</v>
      </c>
      <c r="H164" s="6">
        <v>1.6200531993300962</v>
      </c>
      <c r="I164" s="6">
        <v>-1.3846900947479086</v>
      </c>
      <c r="J164" s="6">
        <v>-2.2918780463189794</v>
      </c>
      <c r="K164" s="6">
        <v>60.64197654295414</v>
      </c>
      <c r="L164" s="6">
        <v>84.421018938930828</v>
      </c>
      <c r="M164" s="6">
        <v>60.417267706363361</v>
      </c>
      <c r="N164" s="6">
        <v>9.1371054660620796</v>
      </c>
      <c r="O164" s="6">
        <v>3.5961841126277352</v>
      </c>
      <c r="P164" s="6">
        <v>6.707359870899994E-2</v>
      </c>
      <c r="Q164" s="6">
        <v>4.6104378941050697E-2</v>
      </c>
      <c r="R164" s="6">
        <v>0.17041912377079088</v>
      </c>
      <c r="S164" s="6">
        <v>0.11714099157283024</v>
      </c>
    </row>
    <row r="165" spans="1:19" ht="16" x14ac:dyDescent="0.2">
      <c r="A165" s="4" t="s">
        <v>122</v>
      </c>
      <c r="B165" s="5" t="s">
        <v>123</v>
      </c>
      <c r="C165" s="5" t="s">
        <v>29</v>
      </c>
      <c r="D165" s="4" t="s">
        <v>41</v>
      </c>
      <c r="E165" s="5" t="s">
        <v>124</v>
      </c>
      <c r="F165" s="5">
        <v>1</v>
      </c>
      <c r="G165" s="5" t="str">
        <f t="shared" si="2"/>
        <v>MALA1</v>
      </c>
      <c r="H165" s="6">
        <v>1.6475254173191682</v>
      </c>
      <c r="I165" s="6">
        <v>-2.2123455614468908</v>
      </c>
      <c r="J165" s="6">
        <v>-2.3683894935493868</v>
      </c>
      <c r="K165" s="6">
        <v>-57.650097429813485</v>
      </c>
      <c r="L165" s="6">
        <v>89.613050908099424</v>
      </c>
      <c r="M165" s="6">
        <v>93.411390629476202</v>
      </c>
      <c r="N165" s="6">
        <v>21.171820966480727</v>
      </c>
      <c r="O165" s="6">
        <v>33.377396381322519</v>
      </c>
      <c r="P165" s="6">
        <v>4.4117392661890506E-2</v>
      </c>
      <c r="Q165" s="6">
        <v>0.39651714709913954</v>
      </c>
      <c r="R165" s="6">
        <v>2.7984373864108646E-2</v>
      </c>
      <c r="S165" s="6">
        <v>0.25151722299167795</v>
      </c>
    </row>
    <row r="166" spans="1:19" ht="16" x14ac:dyDescent="0.2">
      <c r="A166" s="4" t="s">
        <v>122</v>
      </c>
      <c r="B166" s="5" t="s">
        <v>123</v>
      </c>
      <c r="C166" s="5" t="s">
        <v>29</v>
      </c>
      <c r="D166" s="4" t="s">
        <v>41</v>
      </c>
      <c r="E166" s="5" t="s">
        <v>124</v>
      </c>
      <c r="F166" s="5">
        <v>2</v>
      </c>
      <c r="G166" s="5" t="str">
        <f t="shared" si="2"/>
        <v>MALA2</v>
      </c>
      <c r="H166" s="6">
        <v>1.5752975011210135</v>
      </c>
      <c r="I166" s="6">
        <v>-2.401969024089551</v>
      </c>
      <c r="J166" s="6">
        <v>-2.6317108082589122</v>
      </c>
      <c r="K166" s="6">
        <v>-24.93734356959142</v>
      </c>
      <c r="L166" s="6">
        <v>89.093281780436982</v>
      </c>
      <c r="M166" s="6">
        <v>91.270249624374429</v>
      </c>
      <c r="N166" s="6">
        <v>20.770906915490112</v>
      </c>
      <c r="O166" s="6">
        <v>25.950619335525932</v>
      </c>
      <c r="P166" s="6">
        <v>4.3643428552327286E-2</v>
      </c>
      <c r="Q166" s="6">
        <v>0.21122676395417123</v>
      </c>
      <c r="R166" s="6">
        <v>3.4932252683936238E-2</v>
      </c>
      <c r="S166" s="6">
        <v>0.16906615581794851</v>
      </c>
    </row>
    <row r="167" spans="1:19" ht="16" x14ac:dyDescent="0.2">
      <c r="A167" s="4" t="s">
        <v>122</v>
      </c>
      <c r="B167" s="5" t="s">
        <v>123</v>
      </c>
      <c r="C167" s="5" t="s">
        <v>29</v>
      </c>
      <c r="D167" s="4" t="s">
        <v>41</v>
      </c>
      <c r="E167" s="5" t="s">
        <v>124</v>
      </c>
      <c r="F167" s="5">
        <v>3</v>
      </c>
      <c r="G167" s="5" t="str">
        <f t="shared" si="2"/>
        <v>MALA3</v>
      </c>
      <c r="H167" s="6">
        <v>1.5909008693195887</v>
      </c>
      <c r="I167" s="6">
        <v>-2.329083966775928</v>
      </c>
      <c r="J167" s="6">
        <v>-2.5069201953831746</v>
      </c>
      <c r="K167" s="6">
        <v>-26.595829709825423</v>
      </c>
      <c r="L167" s="6">
        <v>91.019528681263239</v>
      </c>
      <c r="M167" s="6">
        <v>92.906187084265554</v>
      </c>
      <c r="N167" s="6">
        <v>24.061171269614981</v>
      </c>
      <c r="O167" s="6">
        <v>30.460439406671195</v>
      </c>
      <c r="P167" s="6">
        <v>3.8412043992353428E-2</v>
      </c>
      <c r="Q167" s="6">
        <v>0.24910807838982327</v>
      </c>
      <c r="R167" s="6">
        <v>3.034226647149357E-2</v>
      </c>
      <c r="S167" s="6">
        <v>0.19677431631106018</v>
      </c>
    </row>
    <row r="168" spans="1:19" ht="16" x14ac:dyDescent="0.2">
      <c r="A168" s="4" t="s">
        <v>122</v>
      </c>
      <c r="B168" s="5" t="s">
        <v>123</v>
      </c>
      <c r="C168" s="5" t="s">
        <v>29</v>
      </c>
      <c r="D168" s="4" t="s">
        <v>41</v>
      </c>
      <c r="E168" s="5" t="s">
        <v>124</v>
      </c>
      <c r="F168" s="5">
        <v>4</v>
      </c>
      <c r="G168" s="5" t="str">
        <f t="shared" si="2"/>
        <v>MALA4</v>
      </c>
      <c r="H168" s="6">
        <v>1.6247641191128845</v>
      </c>
      <c r="I168" s="6">
        <v>-2.1439061063086982</v>
      </c>
      <c r="J168" s="6">
        <v>-2.548781423399995</v>
      </c>
      <c r="K168" s="6">
        <v>12.777333362470245</v>
      </c>
      <c r="L168" s="6">
        <v>86.144631905975615</v>
      </c>
      <c r="M168" s="6">
        <v>84.114945543223314</v>
      </c>
      <c r="N168" s="6">
        <v>16.045511677773167</v>
      </c>
      <c r="O168" s="6">
        <v>13.995323160989997</v>
      </c>
      <c r="P168" s="6">
        <v>5.2679208362461434E-2</v>
      </c>
      <c r="Q168" s="6">
        <v>0.19960258402184361</v>
      </c>
      <c r="R168" s="6">
        <v>6.0396236888032584E-2</v>
      </c>
      <c r="S168" s="6">
        <v>0.22884256090372745</v>
      </c>
    </row>
    <row r="169" spans="1:19" ht="16" x14ac:dyDescent="0.2">
      <c r="A169" s="4" t="s">
        <v>122</v>
      </c>
      <c r="B169" s="5" t="s">
        <v>123</v>
      </c>
      <c r="C169" s="5" t="s">
        <v>29</v>
      </c>
      <c r="D169" s="4" t="s">
        <v>41</v>
      </c>
      <c r="E169" s="5" t="s">
        <v>124</v>
      </c>
      <c r="F169" s="5">
        <v>5</v>
      </c>
      <c r="G169" s="5" t="str">
        <f t="shared" si="2"/>
        <v>MALA5</v>
      </c>
      <c r="H169" s="6">
        <v>2.0541169245851809</v>
      </c>
      <c r="I169" s="6">
        <v>-2.3611156655939727</v>
      </c>
      <c r="J169" s="6">
        <v>-2.8417713780119644</v>
      </c>
      <c r="K169" s="6">
        <v>-8.2129285300478756</v>
      </c>
      <c r="L169" s="6">
        <v>81.696922328834717</v>
      </c>
      <c r="M169" s="6">
        <v>83.086052729750321</v>
      </c>
      <c r="N169" s="6">
        <v>14.126880840738473</v>
      </c>
      <c r="O169" s="6">
        <v>15.287111467713345</v>
      </c>
      <c r="P169" s="6">
        <v>5.9870666542262189E-2</v>
      </c>
      <c r="Q169" s="6">
        <v>0.21871115389601029</v>
      </c>
      <c r="R169" s="6">
        <v>5.5326722375541024E-2</v>
      </c>
      <c r="S169" s="6">
        <v>0.20211185194500986</v>
      </c>
    </row>
    <row r="170" spans="1:19" ht="16" x14ac:dyDescent="0.2">
      <c r="A170" s="4" t="s">
        <v>122</v>
      </c>
      <c r="B170" s="5" t="s">
        <v>123</v>
      </c>
      <c r="C170" s="5" t="s">
        <v>29</v>
      </c>
      <c r="D170" s="4" t="s">
        <v>41</v>
      </c>
      <c r="E170" s="5" t="s">
        <v>124</v>
      </c>
      <c r="F170" s="5">
        <v>6</v>
      </c>
      <c r="G170" s="5" t="str">
        <f t="shared" si="2"/>
        <v>MALA6</v>
      </c>
      <c r="H170" s="6">
        <v>1.4764332430754197</v>
      </c>
      <c r="I170" s="6">
        <v>-2.3182281423537252</v>
      </c>
      <c r="J170" s="6">
        <v>-2.8133617049902226</v>
      </c>
      <c r="K170" s="6">
        <v>-15.798964411196138</v>
      </c>
      <c r="L170" s="6">
        <v>79.620127160744232</v>
      </c>
      <c r="M170" s="6">
        <v>82.400643267509807</v>
      </c>
      <c r="N170" s="6">
        <v>12.287300743452152</v>
      </c>
      <c r="O170" s="6">
        <v>14.228567015006801</v>
      </c>
      <c r="P170" s="6">
        <v>6.7803005418747245E-2</v>
      </c>
      <c r="Q170" s="6">
        <v>0.17157420694356984</v>
      </c>
      <c r="R170" s="6">
        <v>5.8552341779139108E-2</v>
      </c>
      <c r="S170" s="6">
        <v>0.14816557973205946</v>
      </c>
    </row>
    <row r="171" spans="1:19" ht="16" x14ac:dyDescent="0.2">
      <c r="A171" s="19" t="s">
        <v>125</v>
      </c>
      <c r="B171" s="20" t="s">
        <v>126</v>
      </c>
      <c r="C171" s="5" t="s">
        <v>29</v>
      </c>
      <c r="D171" s="4" t="s">
        <v>41</v>
      </c>
      <c r="E171" s="5" t="s">
        <v>127</v>
      </c>
      <c r="F171" s="5">
        <v>1</v>
      </c>
      <c r="G171" s="5" t="str">
        <f t="shared" si="2"/>
        <v>MOMA1</v>
      </c>
      <c r="H171" s="6">
        <v>6.4387074789617182</v>
      </c>
      <c r="I171" s="6">
        <v>-0.68075281592360704</v>
      </c>
      <c r="J171" s="6">
        <v>-0.80206479922928386</v>
      </c>
      <c r="K171" s="6">
        <v>59.229859371466532</v>
      </c>
      <c r="L171" s="6">
        <v>93.833532372881407</v>
      </c>
      <c r="M171" s="6">
        <v>84.875039595024333</v>
      </c>
      <c r="N171" s="6">
        <v>11.075491856524144</v>
      </c>
      <c r="O171" s="6">
        <v>4.5154936052066663</v>
      </c>
      <c r="P171" s="6">
        <v>7.6317668652457593E-2</v>
      </c>
      <c r="Q171" s="6">
        <v>0.15492631993114556</v>
      </c>
      <c r="R171" s="6">
        <v>0.18719010402197575</v>
      </c>
      <c r="S171" s="6">
        <v>0.37999947398444522</v>
      </c>
    </row>
    <row r="172" spans="1:19" ht="16" x14ac:dyDescent="0.2">
      <c r="A172" s="19" t="s">
        <v>125</v>
      </c>
      <c r="B172" s="20" t="s">
        <v>126</v>
      </c>
      <c r="C172" s="5" t="s">
        <v>29</v>
      </c>
      <c r="D172" s="4" t="s">
        <v>41</v>
      </c>
      <c r="E172" s="5" t="s">
        <v>127</v>
      </c>
      <c r="F172" s="5">
        <v>3</v>
      </c>
      <c r="G172" s="5" t="str">
        <f t="shared" si="2"/>
        <v>MOMA3</v>
      </c>
      <c r="H172" s="6">
        <v>4.2935707711816748</v>
      </c>
      <c r="I172" s="6">
        <v>-0.98940015719147101</v>
      </c>
      <c r="J172" s="6">
        <v>-1.2279294827373721</v>
      </c>
      <c r="K172" s="6">
        <v>11.548662118143724</v>
      </c>
      <c r="L172" s="6">
        <v>82.818037790282247</v>
      </c>
      <c r="M172" s="6">
        <v>80.574672332636098</v>
      </c>
      <c r="N172" s="6">
        <v>7.2708083466677511</v>
      </c>
      <c r="O172" s="6">
        <v>6.4311272574532996</v>
      </c>
      <c r="P172" s="6">
        <v>0.11774354280921488</v>
      </c>
      <c r="Q172" s="6">
        <v>0.38087437625625431</v>
      </c>
      <c r="R172" s="6">
        <v>0.13311674603100293</v>
      </c>
      <c r="S172" s="6">
        <v>0.43060329597838864</v>
      </c>
    </row>
    <row r="173" spans="1:19" ht="16" x14ac:dyDescent="0.2">
      <c r="A173" s="19" t="s">
        <v>125</v>
      </c>
      <c r="B173" s="20" t="s">
        <v>126</v>
      </c>
      <c r="C173" s="5" t="s">
        <v>29</v>
      </c>
      <c r="D173" s="4" t="s">
        <v>41</v>
      </c>
      <c r="E173" s="5" t="s">
        <v>127</v>
      </c>
      <c r="F173" s="5">
        <v>4</v>
      </c>
      <c r="G173" s="5" t="str">
        <f t="shared" si="2"/>
        <v>MOMA4</v>
      </c>
      <c r="H173" s="6">
        <v>7.5365996879621706</v>
      </c>
      <c r="I173" s="6">
        <v>-0.90573594921312983</v>
      </c>
      <c r="J173" s="6">
        <v>-1.1322167943602712</v>
      </c>
      <c r="K173" s="6">
        <v>16.293540652933132</v>
      </c>
      <c r="L173" s="6">
        <v>83.255936714920225</v>
      </c>
      <c r="M173" s="6">
        <v>79.996689125680348</v>
      </c>
      <c r="N173" s="6">
        <v>6.3405072836496714</v>
      </c>
      <c r="O173" s="6">
        <v>5.3074141517860234</v>
      </c>
      <c r="P173" s="6">
        <v>0.1304989991738664</v>
      </c>
      <c r="Q173" s="6">
        <v>0.40305751233790427</v>
      </c>
      <c r="R173" s="6">
        <v>0.1559007514973087</v>
      </c>
      <c r="S173" s="6">
        <v>0.48151303433673548</v>
      </c>
    </row>
    <row r="174" spans="1:19" ht="16" x14ac:dyDescent="0.2">
      <c r="A174" s="19" t="s">
        <v>125</v>
      </c>
      <c r="B174" s="20" t="s">
        <v>126</v>
      </c>
      <c r="C174" s="5" t="s">
        <v>29</v>
      </c>
      <c r="D174" s="4" t="s">
        <v>41</v>
      </c>
      <c r="E174" s="5" t="s">
        <v>127</v>
      </c>
      <c r="F174" s="5">
        <v>5</v>
      </c>
      <c r="G174" s="5" t="str">
        <f t="shared" si="2"/>
        <v>MOMA5</v>
      </c>
      <c r="H174" s="6">
        <v>5.3417902901121908</v>
      </c>
      <c r="I174" s="6">
        <v>-0.86288815463781843</v>
      </c>
      <c r="J174" s="6">
        <v>-0.98262859668196489</v>
      </c>
      <c r="K174" s="6">
        <v>13.721491178755002</v>
      </c>
      <c r="L174" s="6">
        <v>89.48633611921089</v>
      </c>
      <c r="M174" s="6">
        <v>87.814272610376605</v>
      </c>
      <c r="N174" s="6">
        <v>8.8950696204152422</v>
      </c>
      <c r="O174" s="6">
        <v>7.6745334271058567</v>
      </c>
      <c r="P174" s="6">
        <v>9.9809900908582064E-2</v>
      </c>
      <c r="Q174" s="6">
        <v>0.44577816794908515</v>
      </c>
      <c r="R174" s="6">
        <v>0.11568338659557945</v>
      </c>
      <c r="S174" s="6">
        <v>0.51667347296493671</v>
      </c>
    </row>
    <row r="175" spans="1:19" ht="16" x14ac:dyDescent="0.2">
      <c r="A175" s="19" t="s">
        <v>125</v>
      </c>
      <c r="B175" s="20" t="s">
        <v>126</v>
      </c>
      <c r="C175" s="5" t="s">
        <v>29</v>
      </c>
      <c r="D175" s="4" t="s">
        <v>41</v>
      </c>
      <c r="E175" s="5" t="s">
        <v>127</v>
      </c>
      <c r="F175" s="5">
        <v>6</v>
      </c>
      <c r="G175" s="5" t="str">
        <f t="shared" si="2"/>
        <v>MOMA6</v>
      </c>
      <c r="H175" s="6">
        <v>6.6764590302725981</v>
      </c>
      <c r="I175" s="6">
        <v>-1.0531494421934569</v>
      </c>
      <c r="J175" s="6">
        <v>-1.3430179911755256</v>
      </c>
      <c r="K175" s="6">
        <v>19.526480730925243</v>
      </c>
      <c r="L175" s="6">
        <v>82.631102177872052</v>
      </c>
      <c r="M175" s="6">
        <v>78.416629495160322</v>
      </c>
      <c r="N175" s="6">
        <v>5.6314452535692219</v>
      </c>
      <c r="O175" s="6">
        <v>5.1176388092222611</v>
      </c>
      <c r="P175" s="6">
        <v>0.14017777913528087</v>
      </c>
      <c r="Q175" s="6">
        <v>0.41514018467483788</v>
      </c>
      <c r="R175" s="6">
        <v>0.13530228935170308</v>
      </c>
      <c r="S175" s="6">
        <v>0.51587179042929265</v>
      </c>
    </row>
    <row r="176" spans="1:19" ht="16" x14ac:dyDescent="0.2">
      <c r="A176" s="16" t="s">
        <v>128</v>
      </c>
      <c r="B176" s="20" t="s">
        <v>126</v>
      </c>
      <c r="C176" s="5" t="s">
        <v>29</v>
      </c>
      <c r="D176" s="4" t="s">
        <v>41</v>
      </c>
      <c r="E176" s="5" t="s">
        <v>129</v>
      </c>
      <c r="F176" s="17">
        <v>1</v>
      </c>
      <c r="G176" s="5" t="str">
        <f t="shared" si="2"/>
        <v>MOVI1</v>
      </c>
      <c r="H176" s="6">
        <v>4.2431580338998804</v>
      </c>
      <c r="I176" s="6">
        <v>-0.97407736062700023</v>
      </c>
      <c r="J176" s="6">
        <v>-1.1648848665068365</v>
      </c>
      <c r="K176" s="6">
        <v>25.774778906908111</v>
      </c>
      <c r="L176" s="6">
        <v>87.841949262657749</v>
      </c>
      <c r="M176" s="6">
        <v>83.620054533628334</v>
      </c>
      <c r="N176" s="6">
        <v>7.8738593399924195</v>
      </c>
      <c r="O176" s="6">
        <v>5.844389503668439</v>
      </c>
      <c r="P176" s="6">
        <v>0.10556873771734661</v>
      </c>
      <c r="Q176" s="6">
        <v>0.31088752478109444</v>
      </c>
      <c r="R176" s="6">
        <v>0.14222758270392252</v>
      </c>
      <c r="S176" s="6">
        <v>0.4188435146473789</v>
      </c>
    </row>
    <row r="177" spans="1:19" ht="16" x14ac:dyDescent="0.2">
      <c r="A177" s="16" t="s">
        <v>128</v>
      </c>
      <c r="B177" s="20" t="s">
        <v>126</v>
      </c>
      <c r="C177" s="5" t="s">
        <v>29</v>
      </c>
      <c r="D177" s="4" t="s">
        <v>41</v>
      </c>
      <c r="E177" s="5" t="s">
        <v>129</v>
      </c>
      <c r="F177" s="17">
        <v>2</v>
      </c>
      <c r="G177" s="5" t="str">
        <f t="shared" si="2"/>
        <v>MOVI2</v>
      </c>
      <c r="H177" s="6">
        <v>5.0157239526689743</v>
      </c>
      <c r="I177" s="6">
        <v>-0.54956605842074202</v>
      </c>
      <c r="J177" s="6">
        <v>-0.96722642962051308</v>
      </c>
      <c r="K177" s="6">
        <v>77.426430244667742</v>
      </c>
      <c r="L177" s="6">
        <v>90.252452544111037</v>
      </c>
      <c r="M177" s="6">
        <v>56.818759453912129</v>
      </c>
      <c r="N177" s="6">
        <v>6.360115949675313</v>
      </c>
      <c r="O177" s="6">
        <v>1.4357052104199703</v>
      </c>
      <c r="P177" s="6">
        <v>9.682635944310021E-2</v>
      </c>
      <c r="Q177" s="6">
        <v>7.8510569269711644E-2</v>
      </c>
      <c r="R177" s="6">
        <v>0.42893685178095564</v>
      </c>
      <c r="S177" s="6">
        <v>0.34779864292915463</v>
      </c>
    </row>
    <row r="178" spans="1:19" ht="16" x14ac:dyDescent="0.2">
      <c r="A178" s="16" t="s">
        <v>128</v>
      </c>
      <c r="B178" s="20" t="s">
        <v>126</v>
      </c>
      <c r="C178" s="5" t="s">
        <v>29</v>
      </c>
      <c r="D178" s="4" t="s">
        <v>41</v>
      </c>
      <c r="E178" s="5" t="s">
        <v>129</v>
      </c>
      <c r="F178" s="17">
        <v>3</v>
      </c>
      <c r="G178" s="5" t="str">
        <f t="shared" si="2"/>
        <v>MOVI3</v>
      </c>
      <c r="H178" s="6">
        <v>6.4723402132962988</v>
      </c>
      <c r="I178" s="6">
        <v>-1.0431985819576384</v>
      </c>
      <c r="J178" s="6">
        <v>-1.1847651083707005</v>
      </c>
      <c r="K178" s="6">
        <v>-81.142804139734523</v>
      </c>
      <c r="L178" s="6">
        <v>78.355407847848113</v>
      </c>
      <c r="M178" s="6">
        <v>88.051089164184987</v>
      </c>
      <c r="N178" s="6">
        <v>4.4728545011951004</v>
      </c>
      <c r="O178" s="6">
        <v>8.1022540685551494</v>
      </c>
      <c r="P178" s="6">
        <v>0.1948391792773321</v>
      </c>
      <c r="Q178" s="6">
        <v>0.93673547920111833</v>
      </c>
      <c r="R178" s="6">
        <v>0.10756109258805109</v>
      </c>
      <c r="S178" s="6">
        <v>0.51712541585616467</v>
      </c>
    </row>
    <row r="179" spans="1:19" ht="16" x14ac:dyDescent="0.2">
      <c r="A179" s="16" t="s">
        <v>128</v>
      </c>
      <c r="B179" s="20" t="s">
        <v>126</v>
      </c>
      <c r="C179" s="5" t="s">
        <v>29</v>
      </c>
      <c r="D179" s="4" t="s">
        <v>41</v>
      </c>
      <c r="E179" s="5" t="s">
        <v>129</v>
      </c>
      <c r="F179" s="17">
        <v>4</v>
      </c>
      <c r="G179" s="5" t="str">
        <f t="shared" si="2"/>
        <v>MOVI4</v>
      </c>
      <c r="H179" s="6">
        <v>5.2698216117358871</v>
      </c>
      <c r="I179" s="6">
        <v>-0.85958552697186774</v>
      </c>
      <c r="J179" s="6">
        <v>-1.0167129707564202</v>
      </c>
      <c r="K179" s="6">
        <v>23.965817668841183</v>
      </c>
      <c r="L179" s="6">
        <v>88.249331862998531</v>
      </c>
      <c r="M179" s="6">
        <v>84.545545468191278</v>
      </c>
      <c r="N179" s="6">
        <v>8.4589093448255408</v>
      </c>
      <c r="O179" s="6">
        <v>6.43166255447208</v>
      </c>
      <c r="P179" s="6">
        <v>0.1026026660177818</v>
      </c>
      <c r="Q179" s="6">
        <v>0.39936352743043768</v>
      </c>
      <c r="R179" s="6">
        <v>0.13494281502352037</v>
      </c>
      <c r="S179" s="6">
        <v>0.52524208873721068</v>
      </c>
    </row>
    <row r="180" spans="1:19" ht="16" x14ac:dyDescent="0.2">
      <c r="A180" s="16" t="s">
        <v>128</v>
      </c>
      <c r="B180" s="20" t="s">
        <v>126</v>
      </c>
      <c r="C180" s="5" t="s">
        <v>29</v>
      </c>
      <c r="D180" s="4" t="s">
        <v>41</v>
      </c>
      <c r="E180" s="5" t="s">
        <v>129</v>
      </c>
      <c r="F180" s="17">
        <v>6</v>
      </c>
      <c r="G180" s="5" t="str">
        <f t="shared" si="2"/>
        <v>MOVI6</v>
      </c>
      <c r="H180" s="6">
        <v>5.4331919349117195</v>
      </c>
      <c r="I180" s="6">
        <v>-0.8237089233934497</v>
      </c>
      <c r="J180" s="6">
        <v>-1.0200420448283587</v>
      </c>
      <c r="K180" s="6">
        <v>55.598283877268287</v>
      </c>
      <c r="L180" s="6">
        <v>91.453756668520924</v>
      </c>
      <c r="M180" s="6">
        <v>80.752448153453741</v>
      </c>
      <c r="N180" s="6">
        <v>11.259452226956807</v>
      </c>
      <c r="O180" s="6">
        <v>4.9993900147879593</v>
      </c>
      <c r="P180" s="6">
        <v>7.5187515593025847E-2</v>
      </c>
      <c r="Q180" s="6">
        <v>0.17891019964256402</v>
      </c>
      <c r="R180" s="6">
        <v>0.16933470630999575</v>
      </c>
      <c r="S180" s="6">
        <v>0.40293532607621435</v>
      </c>
    </row>
    <row r="181" spans="1:19" ht="16" x14ac:dyDescent="0.2">
      <c r="A181" s="4" t="s">
        <v>130</v>
      </c>
      <c r="B181" s="5" t="s">
        <v>131</v>
      </c>
      <c r="C181" s="5" t="s">
        <v>24</v>
      </c>
      <c r="D181" s="4" t="s">
        <v>25</v>
      </c>
      <c r="E181" s="5" t="s">
        <v>132</v>
      </c>
      <c r="F181" s="5">
        <v>1</v>
      </c>
      <c r="G181" s="5" t="str">
        <f t="shared" si="2"/>
        <v>PLRA1</v>
      </c>
      <c r="H181" s="6">
        <v>3.4255493385090809</v>
      </c>
      <c r="I181" s="6">
        <v>-0.92613648996222153</v>
      </c>
      <c r="J181" s="6">
        <v>-1.2107292581805784</v>
      </c>
      <c r="K181" s="6">
        <v>26.27339333614627</v>
      </c>
      <c r="L181" s="6">
        <v>82.669900029224664</v>
      </c>
      <c r="M181" s="6">
        <v>76.494103343465213</v>
      </c>
      <c r="N181" s="6">
        <v>6.2248337309760018</v>
      </c>
      <c r="O181" s="6">
        <v>4.5893586803155655</v>
      </c>
      <c r="P181" s="6">
        <v>0.12768876863330164</v>
      </c>
      <c r="Q181" s="6">
        <v>0.33710636302477726</v>
      </c>
      <c r="R181" s="6">
        <v>0.17319224959787038</v>
      </c>
      <c r="S181" s="6">
        <v>0.45723840860025888</v>
      </c>
    </row>
    <row r="182" spans="1:19" ht="16" x14ac:dyDescent="0.2">
      <c r="A182" s="4" t="s">
        <v>130</v>
      </c>
      <c r="B182" s="5" t="s">
        <v>131</v>
      </c>
      <c r="C182" s="5" t="s">
        <v>24</v>
      </c>
      <c r="D182" s="4" t="s">
        <v>25</v>
      </c>
      <c r="E182" s="5" t="s">
        <v>132</v>
      </c>
      <c r="F182" s="5">
        <v>2</v>
      </c>
      <c r="G182" s="5" t="str">
        <f t="shared" si="2"/>
        <v>PLRA2</v>
      </c>
      <c r="H182" s="6">
        <v>2.9462602335085446</v>
      </c>
      <c r="I182" s="6">
        <v>-0.85243326804987241</v>
      </c>
      <c r="J182" s="6">
        <v>-1.0438152433377876</v>
      </c>
      <c r="K182" s="6">
        <v>48.835480649491764</v>
      </c>
      <c r="L182" s="6">
        <v>90.6190613324965</v>
      </c>
      <c r="M182" s="6">
        <v>81.665148453289802</v>
      </c>
      <c r="N182" s="6">
        <v>8.7729071655021738</v>
      </c>
      <c r="O182" s="6">
        <v>4.4886157842954821</v>
      </c>
      <c r="P182" s="6">
        <v>9.1533786299981851E-2</v>
      </c>
      <c r="Q182" s="6">
        <v>0.17890090137057574</v>
      </c>
      <c r="R182" s="6">
        <v>0.24172911608130038</v>
      </c>
      <c r="S182" s="6">
        <v>0.47245458210074726</v>
      </c>
    </row>
    <row r="183" spans="1:19" ht="16" x14ac:dyDescent="0.2">
      <c r="A183" s="4" t="s">
        <v>130</v>
      </c>
      <c r="B183" s="5" t="s">
        <v>131</v>
      </c>
      <c r="C183" s="5" t="s">
        <v>24</v>
      </c>
      <c r="D183" s="4" t="s">
        <v>25</v>
      </c>
      <c r="E183" s="5" t="s">
        <v>132</v>
      </c>
      <c r="F183" s="5">
        <v>3</v>
      </c>
      <c r="G183" s="5" t="str">
        <f t="shared" si="2"/>
        <v>PLRA3</v>
      </c>
      <c r="H183" s="6">
        <v>3.5293532773625684</v>
      </c>
      <c r="I183" s="6">
        <v>-0.75285009861208141</v>
      </c>
      <c r="J183" s="6">
        <v>-0.95567000384818834</v>
      </c>
      <c r="K183" s="6">
        <v>50.60123024786629</v>
      </c>
      <c r="L183" s="6">
        <v>89.516199357974628</v>
      </c>
      <c r="M183" s="6">
        <v>78.777202965520118</v>
      </c>
      <c r="N183" s="6">
        <v>7.426907452036998</v>
      </c>
      <c r="O183" s="6">
        <v>3.6688009119358158</v>
      </c>
      <c r="P183" s="6">
        <v>0.10623958603139955</v>
      </c>
      <c r="Q183" s="6">
        <v>0.25816175823661008</v>
      </c>
      <c r="R183" s="6">
        <v>0.21506524669434851</v>
      </c>
      <c r="S183" s="6">
        <v>0.52260766721920193</v>
      </c>
    </row>
    <row r="184" spans="1:19" ht="16" x14ac:dyDescent="0.2">
      <c r="A184" s="4" t="s">
        <v>130</v>
      </c>
      <c r="B184" s="5" t="s">
        <v>131</v>
      </c>
      <c r="C184" s="5" t="s">
        <v>24</v>
      </c>
      <c r="D184" s="4" t="s">
        <v>25</v>
      </c>
      <c r="E184" s="5" t="s">
        <v>132</v>
      </c>
      <c r="F184" s="5">
        <v>4</v>
      </c>
      <c r="G184" s="5" t="str">
        <f t="shared" si="2"/>
        <v>PLRA4</v>
      </c>
      <c r="H184" s="6">
        <v>3.4677033019962868</v>
      </c>
      <c r="I184" s="6">
        <v>-0.83302111080753793</v>
      </c>
      <c r="J184" s="6">
        <v>-1.039103719045108</v>
      </c>
      <c r="K184" s="6">
        <v>46.189550815485362</v>
      </c>
      <c r="L184" s="6">
        <v>89.327920288293569</v>
      </c>
      <c r="M184" s="6">
        <v>80.167272577279292</v>
      </c>
      <c r="N184" s="6">
        <v>7.5087613923741285</v>
      </c>
      <c r="O184" s="6">
        <v>4.0404982334299344</v>
      </c>
      <c r="P184" s="6">
        <v>0.10553842919768858</v>
      </c>
      <c r="Q184" s="6">
        <v>0.26784832933927877</v>
      </c>
      <c r="R184" s="6">
        <v>0.19612999110228579</v>
      </c>
      <c r="S184" s="6">
        <v>0.49776267137416452</v>
      </c>
    </row>
    <row r="185" spans="1:19" ht="16" x14ac:dyDescent="0.2">
      <c r="A185" s="4" t="s">
        <v>130</v>
      </c>
      <c r="B185" s="5" t="s">
        <v>131</v>
      </c>
      <c r="C185" s="5" t="s">
        <v>24</v>
      </c>
      <c r="D185" s="4" t="s">
        <v>25</v>
      </c>
      <c r="E185" s="5" t="s">
        <v>132</v>
      </c>
      <c r="F185" s="5">
        <v>6</v>
      </c>
      <c r="G185" s="5" t="str">
        <f t="shared" si="2"/>
        <v>PLRA6</v>
      </c>
      <c r="H185" s="6">
        <v>2.9440029283977913</v>
      </c>
      <c r="I185" s="6">
        <v>-0.96541160009645222</v>
      </c>
      <c r="J185" s="6">
        <v>-1.3581742341617009</v>
      </c>
      <c r="K185" s="6">
        <v>49.40252032321073</v>
      </c>
      <c r="L185" s="6">
        <v>89.225953648428728</v>
      </c>
      <c r="M185" s="6">
        <v>71.081572291225854</v>
      </c>
      <c r="N185" s="6">
        <v>6.8099569282039258</v>
      </c>
      <c r="O185" s="6">
        <v>3.4456665727460849</v>
      </c>
      <c r="P185" s="6">
        <v>0.10555569644825771</v>
      </c>
      <c r="Q185" s="6">
        <v>0.20129417727875643</v>
      </c>
      <c r="R185" s="6">
        <v>0.20861848677549757</v>
      </c>
      <c r="S185" s="6">
        <v>0.3978343952398426</v>
      </c>
    </row>
    <row r="186" spans="1:19" ht="16" x14ac:dyDescent="0.2">
      <c r="A186" s="4" t="s">
        <v>130</v>
      </c>
      <c r="B186" s="5" t="s">
        <v>131</v>
      </c>
      <c r="C186" s="5" t="s">
        <v>24</v>
      </c>
      <c r="D186" s="4" t="s">
        <v>25</v>
      </c>
      <c r="E186" s="5" t="s">
        <v>133</v>
      </c>
      <c r="F186" s="5">
        <v>1</v>
      </c>
      <c r="G186" s="5" t="str">
        <f t="shared" si="2"/>
        <v>PLRA_a1</v>
      </c>
      <c r="H186" s="6">
        <v>2.3683760001655099</v>
      </c>
      <c r="I186" s="6">
        <v>-1.2437672186178665</v>
      </c>
      <c r="J186" s="6">
        <v>-1.4614535576847767</v>
      </c>
      <c r="K186" s="6">
        <v>-6.5700550440119514</v>
      </c>
      <c r="L186" s="6">
        <v>84.126183815624287</v>
      </c>
      <c r="M186" s="6">
        <v>85.104806244286863</v>
      </c>
      <c r="N186" s="6">
        <v>7.5469170872357276</v>
      </c>
      <c r="O186" s="6">
        <v>8.0427536939930597</v>
      </c>
      <c r="P186" s="6">
        <v>0.11353658260383023</v>
      </c>
      <c r="Q186" s="6">
        <v>0.18404090989787814</v>
      </c>
      <c r="R186" s="6">
        <v>0.10653704040683958</v>
      </c>
      <c r="S186" s="6">
        <v>0.17269476854625965</v>
      </c>
    </row>
    <row r="187" spans="1:19" ht="16" x14ac:dyDescent="0.2">
      <c r="A187" s="4" t="s">
        <v>130</v>
      </c>
      <c r="B187" s="5" t="s">
        <v>131</v>
      </c>
      <c r="C187" s="5" t="s">
        <v>24</v>
      </c>
      <c r="D187" s="4" t="s">
        <v>25</v>
      </c>
      <c r="E187" s="5" t="s">
        <v>133</v>
      </c>
      <c r="F187" s="5">
        <v>2</v>
      </c>
      <c r="G187" s="5" t="str">
        <f t="shared" si="2"/>
        <v>PLRA_a2</v>
      </c>
      <c r="H187" s="6">
        <v>1.8787755111783424</v>
      </c>
      <c r="I187" s="6">
        <v>-1.7339722371249409</v>
      </c>
      <c r="J187" s="6">
        <v>-2.17582501939743</v>
      </c>
      <c r="K187" s="6">
        <v>-10.469996328703616</v>
      </c>
      <c r="L187" s="6">
        <v>77.566451897410786</v>
      </c>
      <c r="M187" s="6">
        <v>79.6926325263575</v>
      </c>
      <c r="N187" s="6">
        <v>8.8694977198615153</v>
      </c>
      <c r="O187" s="6">
        <v>9.7981338055054632</v>
      </c>
      <c r="P187" s="6">
        <v>9.2991084975125676E-2</v>
      </c>
      <c r="Q187" s="6">
        <v>0.21912589780076161</v>
      </c>
      <c r="R187" s="6">
        <v>8.4177684498540781E-2</v>
      </c>
      <c r="S187" s="6">
        <v>0.19835783930756376</v>
      </c>
    </row>
    <row r="188" spans="1:19" ht="16" x14ac:dyDescent="0.2">
      <c r="A188" s="4" t="s">
        <v>130</v>
      </c>
      <c r="B188" s="5" t="s">
        <v>131</v>
      </c>
      <c r="C188" s="5" t="s">
        <v>24</v>
      </c>
      <c r="D188" s="4" t="s">
        <v>25</v>
      </c>
      <c r="E188" s="5" t="s">
        <v>133</v>
      </c>
      <c r="F188" s="5">
        <v>3</v>
      </c>
      <c r="G188" s="5" t="str">
        <f t="shared" si="2"/>
        <v>PLRA_a3</v>
      </c>
      <c r="H188" s="6">
        <v>2.8223470596127247</v>
      </c>
      <c r="I188" s="6">
        <v>-1.9886408723121076</v>
      </c>
      <c r="J188" s="6">
        <v>-2.3025815972235173</v>
      </c>
      <c r="K188" s="6">
        <v>-74.563213234354379</v>
      </c>
      <c r="L188" s="6">
        <v>76.199539781026786</v>
      </c>
      <c r="M188" s="6">
        <v>86.36570685312681</v>
      </c>
      <c r="N188" s="6">
        <v>9.7857071458569749</v>
      </c>
      <c r="O188" s="6">
        <v>17.082244831511773</v>
      </c>
      <c r="P188" s="6">
        <v>9.0237496827009669E-2</v>
      </c>
      <c r="Q188" s="6">
        <v>0.33459056405039495</v>
      </c>
      <c r="R188" s="6">
        <v>5.1693306484834292E-2</v>
      </c>
      <c r="S188" s="6">
        <v>0.19167300936492349</v>
      </c>
    </row>
    <row r="189" spans="1:19" ht="16" x14ac:dyDescent="0.2">
      <c r="A189" s="4" t="s">
        <v>130</v>
      </c>
      <c r="B189" s="5" t="s">
        <v>131</v>
      </c>
      <c r="C189" s="5" t="s">
        <v>24</v>
      </c>
      <c r="D189" s="4" t="s">
        <v>25</v>
      </c>
      <c r="E189" s="5" t="s">
        <v>133</v>
      </c>
      <c r="F189" s="5">
        <v>4</v>
      </c>
      <c r="G189" s="5" t="str">
        <f t="shared" si="2"/>
        <v>PLRA_a4</v>
      </c>
      <c r="H189" s="6">
        <v>1.9254324894435997</v>
      </c>
      <c r="I189" s="6">
        <v>-1.5197395268413114</v>
      </c>
      <c r="J189" s="6">
        <v>-1.6745917080554404</v>
      </c>
      <c r="K189" s="6">
        <v>9.5534603106739127</v>
      </c>
      <c r="L189" s="6">
        <v>91.636263402721482</v>
      </c>
      <c r="M189" s="6">
        <v>90.752839604470196</v>
      </c>
      <c r="N189" s="6">
        <v>16.39504772591555</v>
      </c>
      <c r="O189" s="6">
        <v>14.828753348504167</v>
      </c>
      <c r="P189" s="6">
        <v>5.488724583336315E-2</v>
      </c>
      <c r="Q189" s="6">
        <v>0.1634824872665234</v>
      </c>
      <c r="R189" s="6">
        <v>6.0684738213197302E-2</v>
      </c>
      <c r="S189" s="6">
        <v>0.18075040551918067</v>
      </c>
    </row>
    <row r="190" spans="1:19" ht="16" x14ac:dyDescent="0.2">
      <c r="A190" s="4" t="s">
        <v>130</v>
      </c>
      <c r="B190" s="5" t="s">
        <v>131</v>
      </c>
      <c r="C190" s="5" t="s">
        <v>24</v>
      </c>
      <c r="D190" s="4" t="s">
        <v>25</v>
      </c>
      <c r="E190" s="5" t="s">
        <v>133</v>
      </c>
      <c r="F190" s="5">
        <v>5</v>
      </c>
      <c r="G190" s="5" t="str">
        <f t="shared" si="2"/>
        <v>PLRA_a5</v>
      </c>
      <c r="H190" s="6">
        <v>2.9609672517059265</v>
      </c>
      <c r="I190" s="6">
        <v>-1.0921431707608589</v>
      </c>
      <c r="J190" s="6">
        <v>-1.3917286867583503</v>
      </c>
      <c r="K190" s="6">
        <v>-21.400699531795127</v>
      </c>
      <c r="L190" s="6">
        <v>73.867111055673547</v>
      </c>
      <c r="M190" s="6">
        <v>78.473856373881773</v>
      </c>
      <c r="N190" s="6">
        <v>5.3330127486197556</v>
      </c>
      <c r="O190" s="6">
        <v>6.4743147829441963</v>
      </c>
      <c r="P190" s="6">
        <v>0.15394209230152794</v>
      </c>
      <c r="Q190" s="6">
        <v>0.20267549676279045</v>
      </c>
      <c r="R190" s="6">
        <v>0.12680494667265915</v>
      </c>
      <c r="S190" s="6">
        <v>0.16694755264545161</v>
      </c>
    </row>
    <row r="191" spans="1:19" ht="16" x14ac:dyDescent="0.2">
      <c r="A191" s="4" t="s">
        <v>130</v>
      </c>
      <c r="B191" s="5" t="s">
        <v>131</v>
      </c>
      <c r="C191" s="5" t="s">
        <v>24</v>
      </c>
      <c r="D191" s="4" t="s">
        <v>25</v>
      </c>
      <c r="E191" s="5" t="s">
        <v>133</v>
      </c>
      <c r="F191" s="5">
        <v>6</v>
      </c>
      <c r="G191" s="5" t="str">
        <f t="shared" si="2"/>
        <v>PLRA_a6</v>
      </c>
      <c r="H191" s="6">
        <v>2.3683760001655099</v>
      </c>
      <c r="I191" s="6">
        <v>-1.2437672186178665</v>
      </c>
      <c r="J191" s="6">
        <v>-1.4614535576847767</v>
      </c>
      <c r="K191" s="6">
        <v>-6.5700550440119514</v>
      </c>
      <c r="L191" s="6">
        <v>84.126183815624287</v>
      </c>
      <c r="M191" s="6">
        <v>85.104806244286863</v>
      </c>
      <c r="N191" s="6">
        <v>7.5469170872357276</v>
      </c>
      <c r="O191" s="6">
        <v>8.0427536939930597</v>
      </c>
      <c r="P191" s="6">
        <v>0.11353658260383023</v>
      </c>
      <c r="Q191" s="6">
        <v>0.18404090989787814</v>
      </c>
      <c r="R191" s="6">
        <v>0.10653704040683958</v>
      </c>
      <c r="S191" s="6">
        <v>0.17269476854625965</v>
      </c>
    </row>
    <row r="192" spans="1:19" ht="16" x14ac:dyDescent="0.2">
      <c r="A192" s="4" t="s">
        <v>134</v>
      </c>
      <c r="B192" s="5" t="s">
        <v>57</v>
      </c>
      <c r="C192" s="5" t="s">
        <v>29</v>
      </c>
      <c r="D192" s="4" t="s">
        <v>41</v>
      </c>
      <c r="E192" s="5" t="s">
        <v>135</v>
      </c>
      <c r="F192" s="5">
        <v>1</v>
      </c>
      <c r="G192" s="5" t="str">
        <f t="shared" si="2"/>
        <v>PRIL 1</v>
      </c>
      <c r="H192" s="6">
        <v>1.4724807302215841</v>
      </c>
      <c r="I192" s="6">
        <v>-1.6634275398043465</v>
      </c>
      <c r="J192" s="6">
        <v>-1.9880205536136322</v>
      </c>
      <c r="K192" s="6">
        <v>-46.432552288633929</v>
      </c>
      <c r="L192" s="6">
        <v>76.091301782189191</v>
      </c>
      <c r="M192" s="6">
        <v>83.672552418068719</v>
      </c>
      <c r="N192" s="6">
        <v>7.635542626026357</v>
      </c>
      <c r="O192" s="6">
        <v>11.180919948376971</v>
      </c>
      <c r="P192" s="6">
        <v>0.11136690864043378</v>
      </c>
      <c r="Q192" s="6">
        <v>0.33379397754070933</v>
      </c>
      <c r="R192" s="6">
        <v>7.6053382188489047E-2</v>
      </c>
      <c r="S192" s="6">
        <v>0.227950665561552</v>
      </c>
    </row>
    <row r="193" spans="1:19" ht="16" x14ac:dyDescent="0.2">
      <c r="A193" s="4" t="s">
        <v>134</v>
      </c>
      <c r="B193" s="5" t="s">
        <v>57</v>
      </c>
      <c r="C193" s="5" t="s">
        <v>29</v>
      </c>
      <c r="D193" s="4" t="s">
        <v>41</v>
      </c>
      <c r="E193" s="5" t="s">
        <v>135</v>
      </c>
      <c r="F193" s="5">
        <v>3</v>
      </c>
      <c r="G193" s="5" t="str">
        <f t="shared" si="2"/>
        <v>PRIL 3</v>
      </c>
      <c r="H193" s="6">
        <v>2.0008946805626748</v>
      </c>
      <c r="I193" s="6">
        <v>-2.0813544444185599</v>
      </c>
      <c r="J193" s="6">
        <v>-2.4975878314665709</v>
      </c>
      <c r="K193" s="6">
        <v>-30.592795312160462</v>
      </c>
      <c r="L193" s="6">
        <v>78.236168181148614</v>
      </c>
      <c r="M193" s="6">
        <v>83.334584601831551</v>
      </c>
      <c r="N193" s="6">
        <v>11.637142322048827</v>
      </c>
      <c r="O193" s="6">
        <v>15.197269452818011</v>
      </c>
      <c r="P193" s="6">
        <v>7.4261366670996615E-2</v>
      </c>
      <c r="Q193" s="6">
        <v>0.26340367006647036</v>
      </c>
      <c r="R193" s="6">
        <v>5.6864826649500211E-2</v>
      </c>
      <c r="S193" s="6">
        <v>0.20169846999357632</v>
      </c>
    </row>
    <row r="194" spans="1:19" ht="16" x14ac:dyDescent="0.2">
      <c r="A194" s="4" t="s">
        <v>134</v>
      </c>
      <c r="B194" s="5" t="s">
        <v>57</v>
      </c>
      <c r="C194" s="5" t="s">
        <v>29</v>
      </c>
      <c r="D194" s="4" t="s">
        <v>41</v>
      </c>
      <c r="E194" s="5" t="s">
        <v>135</v>
      </c>
      <c r="F194" s="5">
        <v>4</v>
      </c>
      <c r="G194" s="5" t="str">
        <f t="shared" si="2"/>
        <v>PRIL 4</v>
      </c>
      <c r="H194" s="6">
        <v>1.5859656338763919</v>
      </c>
      <c r="I194" s="6">
        <v>-1.9758146264568459</v>
      </c>
      <c r="J194" s="6">
        <v>-2.1492781707515638</v>
      </c>
      <c r="K194" s="6">
        <v>-82.534082545731081</v>
      </c>
      <c r="L194" s="6">
        <v>85.268073093630733</v>
      </c>
      <c r="M194" s="6">
        <v>91.929218532282377</v>
      </c>
      <c r="N194" s="6">
        <v>13.49791846080096</v>
      </c>
      <c r="O194" s="6">
        <v>24.63830162519389</v>
      </c>
      <c r="P194" s="6">
        <v>6.8083589648789536E-2</v>
      </c>
      <c r="Q194" s="6">
        <v>0.3427909939419867</v>
      </c>
      <c r="R194" s="6">
        <v>3.7299110773864531E-2</v>
      </c>
      <c r="S194" s="6">
        <v>0.18779561009166973</v>
      </c>
    </row>
    <row r="195" spans="1:19" ht="16" x14ac:dyDescent="0.2">
      <c r="A195" s="4" t="s">
        <v>134</v>
      </c>
      <c r="B195" s="5" t="s">
        <v>57</v>
      </c>
      <c r="C195" s="5" t="s">
        <v>29</v>
      </c>
      <c r="D195" s="4" t="s">
        <v>41</v>
      </c>
      <c r="E195" s="5" t="s">
        <v>135</v>
      </c>
      <c r="F195" s="5">
        <v>5</v>
      </c>
      <c r="G195" s="5" t="str">
        <f t="shared" si="2"/>
        <v>PRIL 5</v>
      </c>
      <c r="H195" s="6">
        <v>1.5841167640904383</v>
      </c>
      <c r="I195" s="6">
        <v>-1.0296256426719543</v>
      </c>
      <c r="J195" s="6">
        <v>-1.4031429425620021</v>
      </c>
      <c r="K195" s="6">
        <v>0.96004330807463134</v>
      </c>
      <c r="L195" s="6">
        <v>73.635517748997557</v>
      </c>
      <c r="M195" s="6">
        <v>73.379953776623665</v>
      </c>
      <c r="N195" s="6">
        <v>5.3937439257644133</v>
      </c>
      <c r="O195" s="6">
        <v>5.3419616481504306</v>
      </c>
      <c r="P195" s="6">
        <v>0.15034497425864887</v>
      </c>
      <c r="Q195" s="6">
        <v>0.17954706574569212</v>
      </c>
      <c r="R195" s="6">
        <v>0.15180234248921712</v>
      </c>
      <c r="S195" s="6">
        <v>0.18128750429909135</v>
      </c>
    </row>
    <row r="196" spans="1:19" ht="16" x14ac:dyDescent="0.2">
      <c r="A196" s="4" t="s">
        <v>134</v>
      </c>
      <c r="B196" s="5" t="s">
        <v>57</v>
      </c>
      <c r="C196" s="5" t="s">
        <v>29</v>
      </c>
      <c r="D196" s="4" t="s">
        <v>41</v>
      </c>
      <c r="E196" s="5" t="s">
        <v>135</v>
      </c>
      <c r="F196" s="5">
        <v>6</v>
      </c>
      <c r="G196" s="5" t="str">
        <f t="shared" ref="G196:G259" si="5">_xlfn.CONCAT(E196,F196)</f>
        <v>PRIL 6</v>
      </c>
      <c r="H196" s="6">
        <v>1.9341225942877516</v>
      </c>
      <c r="I196" s="6">
        <v>-2.1122989779275936</v>
      </c>
      <c r="J196" s="6">
        <v>-2.5378827006987845</v>
      </c>
      <c r="K196" s="6">
        <v>-8.6139338632007281</v>
      </c>
      <c r="L196" s="6">
        <v>81.786265257414215</v>
      </c>
      <c r="M196" s="6">
        <v>83.23075677792319</v>
      </c>
      <c r="N196" s="6">
        <v>12.399162753423544</v>
      </c>
      <c r="O196" s="6">
        <v>13.467218432594079</v>
      </c>
      <c r="P196" s="6">
        <v>6.7169071332528571E-2</v>
      </c>
      <c r="Q196" s="6">
        <v>0.13970044709009855</v>
      </c>
      <c r="R196" s="6">
        <v>6.1842038993936053E-2</v>
      </c>
      <c r="S196" s="6">
        <v>0.12862110976115759</v>
      </c>
    </row>
    <row r="197" spans="1:19" ht="16" x14ac:dyDescent="0.2">
      <c r="A197" s="21" t="s">
        <v>136</v>
      </c>
      <c r="B197" s="22" t="s">
        <v>137</v>
      </c>
      <c r="C197" s="5" t="s">
        <v>29</v>
      </c>
      <c r="D197" s="4" t="s">
        <v>37</v>
      </c>
      <c r="E197" s="5" t="s">
        <v>138</v>
      </c>
      <c r="F197" s="5" t="s">
        <v>139</v>
      </c>
      <c r="G197" s="5" t="str">
        <f t="shared" si="5"/>
        <v>QUROH20_396_1</v>
      </c>
      <c r="H197" s="6">
        <v>1.3935535758854909</v>
      </c>
      <c r="I197" s="6">
        <v>-1.8166878326196301</v>
      </c>
      <c r="J197" s="6">
        <v>-2.1260472017600587</v>
      </c>
      <c r="K197" s="6">
        <v>0.90948304212820119</v>
      </c>
      <c r="L197" s="6">
        <v>85.581420869438546</v>
      </c>
      <c r="M197" s="6">
        <v>85.44908274452591</v>
      </c>
      <c r="N197" s="6">
        <v>11.418726219534685</v>
      </c>
      <c r="O197" s="6">
        <v>11.31487484094097</v>
      </c>
      <c r="P197" s="6">
        <v>7.4025667754505253E-2</v>
      </c>
      <c r="Q197" s="6">
        <v>0.30487915397709253</v>
      </c>
      <c r="R197" s="6">
        <v>7.4705097951983809E-2</v>
      </c>
      <c r="S197" s="6">
        <v>0.30767742800929487</v>
      </c>
    </row>
    <row r="198" spans="1:19" ht="16" x14ac:dyDescent="0.2">
      <c r="A198" s="21" t="s">
        <v>136</v>
      </c>
      <c r="B198" s="22" t="s">
        <v>137</v>
      </c>
      <c r="C198" s="5" t="s">
        <v>29</v>
      </c>
      <c r="D198" s="4" t="s">
        <v>37</v>
      </c>
      <c r="E198" s="5" t="s">
        <v>138</v>
      </c>
      <c r="F198" s="5" t="s">
        <v>140</v>
      </c>
      <c r="G198" s="5" t="str">
        <f t="shared" si="5"/>
        <v>QUROG21_373_1</v>
      </c>
      <c r="H198" s="6">
        <v>2.0846282096240607</v>
      </c>
      <c r="I198" s="6">
        <v>-1.2811320873332659</v>
      </c>
      <c r="J198" s="6">
        <v>-1.6640682686291453</v>
      </c>
      <c r="K198" s="6">
        <v>19.04956080855618</v>
      </c>
      <c r="L198" s="6">
        <v>81.371646438680941</v>
      </c>
      <c r="M198" s="6">
        <v>76.987952446726183</v>
      </c>
      <c r="N198" s="6">
        <v>9.4784271911343261</v>
      </c>
      <c r="O198" s="6">
        <v>7.6728284396644675</v>
      </c>
      <c r="P198" s="6">
        <v>8.8095123758693356E-2</v>
      </c>
      <c r="Q198" s="6">
        <v>0.17455047594050332</v>
      </c>
      <c r="R198" s="6">
        <v>0.10882599852281558</v>
      </c>
      <c r="S198" s="6">
        <v>0.21562634827428284</v>
      </c>
    </row>
    <row r="199" spans="1:19" ht="16" x14ac:dyDescent="0.2">
      <c r="A199" s="21" t="s">
        <v>136</v>
      </c>
      <c r="B199" s="22" t="s">
        <v>137</v>
      </c>
      <c r="C199" s="5" t="s">
        <v>29</v>
      </c>
      <c r="D199" s="4" t="s">
        <v>37</v>
      </c>
      <c r="E199" s="5" t="s">
        <v>138</v>
      </c>
      <c r="F199" s="5" t="s">
        <v>141</v>
      </c>
      <c r="G199" s="5" t="str">
        <f t="shared" si="5"/>
        <v>QUROG21_373_2</v>
      </c>
      <c r="H199" s="6">
        <v>2.0846282096240607</v>
      </c>
      <c r="I199" s="6">
        <v>-1.2811320873332659</v>
      </c>
      <c r="J199" s="6">
        <v>-1.6640682686291453</v>
      </c>
      <c r="K199" s="6">
        <v>19.04956080855618</v>
      </c>
      <c r="L199" s="6">
        <v>81.371646438680941</v>
      </c>
      <c r="M199" s="6">
        <v>76.987952446726183</v>
      </c>
      <c r="N199" s="6">
        <v>9.4784271911343261</v>
      </c>
      <c r="O199" s="6">
        <v>7.6728284396644675</v>
      </c>
      <c r="P199" s="6">
        <v>8.8095123758693356E-2</v>
      </c>
      <c r="Q199" s="6">
        <v>0.17455047594050332</v>
      </c>
      <c r="R199" s="6">
        <v>0.10882599852281558</v>
      </c>
      <c r="S199" s="6">
        <v>0.21562634827428284</v>
      </c>
    </row>
    <row r="200" spans="1:19" ht="16" x14ac:dyDescent="0.2">
      <c r="A200" s="21" t="s">
        <v>136</v>
      </c>
      <c r="B200" s="22" t="s">
        <v>137</v>
      </c>
      <c r="C200" s="5" t="s">
        <v>29</v>
      </c>
      <c r="D200" s="4" t="s">
        <v>37</v>
      </c>
      <c r="E200" s="5" t="s">
        <v>138</v>
      </c>
      <c r="F200" s="5" t="s">
        <v>142</v>
      </c>
      <c r="G200" s="5" t="str">
        <f t="shared" si="5"/>
        <v>QUROH20_475_1</v>
      </c>
      <c r="H200" s="6">
        <v>1.6414833781587452</v>
      </c>
      <c r="I200" s="6">
        <v>-2.3905907515111346</v>
      </c>
      <c r="J200" s="6">
        <v>-2.9860123907218448</v>
      </c>
      <c r="K200" s="6">
        <v>25.199483714577212</v>
      </c>
      <c r="L200" s="6">
        <v>85.084507298475344</v>
      </c>
      <c r="M200" s="6">
        <v>80.059639368516756</v>
      </c>
      <c r="N200" s="6">
        <v>15.360557124123421</v>
      </c>
      <c r="O200" s="6">
        <v>11.489776033161608</v>
      </c>
      <c r="P200" s="6">
        <v>5.178964961727768E-2</v>
      </c>
      <c r="Q200" s="6">
        <v>0.1401566735952855</v>
      </c>
      <c r="R200" s="6">
        <v>6.9237021599770049E-2</v>
      </c>
      <c r="S200" s="6">
        <v>0.18737393878469991</v>
      </c>
    </row>
    <row r="201" spans="1:19" ht="16" x14ac:dyDescent="0.2">
      <c r="A201" s="21" t="s">
        <v>136</v>
      </c>
      <c r="B201" s="22" t="s">
        <v>137</v>
      </c>
      <c r="C201" s="5" t="s">
        <v>29</v>
      </c>
      <c r="D201" s="4" t="s">
        <v>37</v>
      </c>
      <c r="E201" s="5" t="s">
        <v>138</v>
      </c>
      <c r="F201" s="5" t="s">
        <v>143</v>
      </c>
      <c r="G201" s="5" t="str">
        <f t="shared" si="5"/>
        <v>QUROH20_475_2</v>
      </c>
      <c r="H201" s="6">
        <v>1.4417214093399693</v>
      </c>
      <c r="I201" s="6">
        <v>-1.6052267308652581</v>
      </c>
      <c r="J201" s="6">
        <v>-2.2070026221046435</v>
      </c>
      <c r="K201" s="6">
        <v>58.011701085255275</v>
      </c>
      <c r="L201" s="6">
        <v>88.5511934838797</v>
      </c>
      <c r="M201" s="6">
        <v>72.733340449522458</v>
      </c>
      <c r="N201" s="6">
        <v>14.375984747441171</v>
      </c>
      <c r="O201" s="6">
        <v>6.0362314476936287</v>
      </c>
      <c r="P201" s="6">
        <v>5.1007400490102953E-2</v>
      </c>
      <c r="Q201" s="6">
        <v>8.3437124151385086E-2</v>
      </c>
      <c r="R201" s="6">
        <v>0.12148003564915015</v>
      </c>
      <c r="S201" s="6">
        <v>0.19871518091456961</v>
      </c>
    </row>
    <row r="202" spans="1:19" ht="16" x14ac:dyDescent="0.2">
      <c r="A202" s="4" t="s">
        <v>144</v>
      </c>
      <c r="B202" s="5" t="s">
        <v>145</v>
      </c>
      <c r="C202" s="5" t="s">
        <v>29</v>
      </c>
      <c r="D202" s="4" t="s">
        <v>25</v>
      </c>
      <c r="E202" s="5" t="s">
        <v>146</v>
      </c>
      <c r="F202" s="5">
        <v>1</v>
      </c>
      <c r="G202" s="5" t="str">
        <f t="shared" si="5"/>
        <v>QUAG1</v>
      </c>
      <c r="H202" s="6">
        <v>0.9046044538466641</v>
      </c>
      <c r="I202" s="6">
        <v>-1.9465961306872808</v>
      </c>
      <c r="J202" s="6">
        <v>-2.7220312202565138</v>
      </c>
      <c r="K202" s="6">
        <v>65.920871419366364</v>
      </c>
      <c r="L202" s="6">
        <v>90.291752744527756</v>
      </c>
      <c r="M202" s="6">
        <v>71.51263057533339</v>
      </c>
      <c r="N202" s="6">
        <v>15.697342728464399</v>
      </c>
      <c r="O202" s="6">
        <v>5.3495176121760863</v>
      </c>
      <c r="P202" s="6">
        <v>4.2251316151280333E-2</v>
      </c>
      <c r="Q202" s="6">
        <v>5.2467614255446805E-2</v>
      </c>
      <c r="R202" s="6">
        <v>0.12398003678794497</v>
      </c>
      <c r="S202" s="6">
        <v>0.15395820386458711</v>
      </c>
    </row>
    <row r="203" spans="1:19" ht="16" x14ac:dyDescent="0.2">
      <c r="A203" s="4" t="s">
        <v>144</v>
      </c>
      <c r="B203" s="5" t="s">
        <v>145</v>
      </c>
      <c r="C203" s="5" t="s">
        <v>29</v>
      </c>
      <c r="D203" s="4" t="s">
        <v>25</v>
      </c>
      <c r="E203" s="5" t="s">
        <v>146</v>
      </c>
      <c r="F203" s="5">
        <v>2</v>
      </c>
      <c r="G203" s="5" t="str">
        <f t="shared" si="5"/>
        <v>QUAG2</v>
      </c>
      <c r="H203" s="6">
        <v>0.89794081338752407</v>
      </c>
      <c r="I203" s="6">
        <v>-2.441364193424961</v>
      </c>
      <c r="J203" s="6">
        <v>-3.299866118695979</v>
      </c>
      <c r="K203" s="6">
        <v>38.300770961022664</v>
      </c>
      <c r="L203" s="6">
        <v>83.948164861115188</v>
      </c>
      <c r="M203" s="6">
        <v>73.983734661020875</v>
      </c>
      <c r="N203" s="6">
        <v>14.024137676126276</v>
      </c>
      <c r="O203" s="6">
        <v>8.6527848255346616</v>
      </c>
      <c r="P203" s="6">
        <v>5.1836987844262952E-2</v>
      </c>
      <c r="Q203" s="6">
        <v>9.2264383417627771E-2</v>
      </c>
      <c r="R203" s="6">
        <v>8.4015616810245594E-2</v>
      </c>
      <c r="S203" s="6">
        <v>0.1495389567337079</v>
      </c>
    </row>
    <row r="204" spans="1:19" ht="16" x14ac:dyDescent="0.2">
      <c r="A204" s="4" t="s">
        <v>144</v>
      </c>
      <c r="B204" s="5" t="s">
        <v>145</v>
      </c>
      <c r="C204" s="5" t="s">
        <v>29</v>
      </c>
      <c r="D204" s="4" t="s">
        <v>25</v>
      </c>
      <c r="E204" s="5" t="s">
        <v>146</v>
      </c>
      <c r="F204" s="5">
        <v>3</v>
      </c>
      <c r="G204" s="5" t="str">
        <f t="shared" si="5"/>
        <v>QUAG3</v>
      </c>
      <c r="H204" s="6">
        <v>0.97457866823234207</v>
      </c>
      <c r="I204" s="6">
        <v>-2.5691001549895556</v>
      </c>
      <c r="J204" s="6">
        <v>-3.2079232329619267</v>
      </c>
      <c r="K204" s="6">
        <v>24.547917885824489</v>
      </c>
      <c r="L204" s="6">
        <v>84.974537158391612</v>
      </c>
      <c r="M204" s="6">
        <v>80.086085869874907</v>
      </c>
      <c r="N204" s="6">
        <v>17.134391188977339</v>
      </c>
      <c r="O204" s="6">
        <v>12.928254909671237</v>
      </c>
      <c r="P204" s="6">
        <v>4.6753862946281935E-2</v>
      </c>
      <c r="Q204" s="6">
        <v>0.10198429285658965</v>
      </c>
      <c r="R204" s="6">
        <v>6.1964973843310393E-2</v>
      </c>
      <c r="S204" s="6">
        <v>0.13516431886169203</v>
      </c>
    </row>
    <row r="205" spans="1:19" ht="16" x14ac:dyDescent="0.2">
      <c r="A205" s="4" t="s">
        <v>144</v>
      </c>
      <c r="B205" s="5" t="s">
        <v>145</v>
      </c>
      <c r="C205" s="5" t="s">
        <v>29</v>
      </c>
      <c r="D205" s="4" t="s">
        <v>25</v>
      </c>
      <c r="E205" s="5" t="s">
        <v>146</v>
      </c>
      <c r="F205" s="5">
        <v>4</v>
      </c>
      <c r="G205" s="5" t="str">
        <f t="shared" si="5"/>
        <v>QUAG4</v>
      </c>
      <c r="H205" s="6">
        <v>0.91747406227897066</v>
      </c>
      <c r="I205" s="6">
        <v>-1.9803693171663277</v>
      </c>
      <c r="J205" s="6">
        <v>-2.7001843131689611</v>
      </c>
      <c r="K205" s="6">
        <v>70.53823300819036</v>
      </c>
      <c r="L205" s="6">
        <v>92.146083663247708</v>
      </c>
      <c r="M205" s="6">
        <v>73.342005118241289</v>
      </c>
      <c r="N205" s="6">
        <v>22.398082673850361</v>
      </c>
      <c r="O205" s="6">
        <v>6.5988709280026976</v>
      </c>
      <c r="P205" s="6">
        <v>3.1794949152269568E-2</v>
      </c>
      <c r="Q205" s="6">
        <v>2.620775308336561E-2</v>
      </c>
      <c r="R205" s="6">
        <v>0.10791935582515627</v>
      </c>
      <c r="S205" s="6">
        <v>8.8955129848971207E-2</v>
      </c>
    </row>
    <row r="206" spans="1:19" ht="16" x14ac:dyDescent="0.2">
      <c r="A206" s="4" t="s">
        <v>144</v>
      </c>
      <c r="B206" s="5" t="s">
        <v>145</v>
      </c>
      <c r="C206" s="5" t="s">
        <v>29</v>
      </c>
      <c r="D206" s="4" t="s">
        <v>25</v>
      </c>
      <c r="E206" s="5" t="s">
        <v>146</v>
      </c>
      <c r="F206" s="5">
        <v>5</v>
      </c>
      <c r="G206" s="5" t="str">
        <f t="shared" si="5"/>
        <v>QUAG5</v>
      </c>
      <c r="H206" s="6">
        <v>0.91257664448890785</v>
      </c>
      <c r="I206" s="6">
        <v>-2.6603698588906828</v>
      </c>
      <c r="J206" s="6">
        <v>-3.2877983705610196</v>
      </c>
      <c r="K206" s="6">
        <v>12.103697700965284</v>
      </c>
      <c r="L206" s="6">
        <v>83.226268792328966</v>
      </c>
      <c r="M206" s="6">
        <v>80.916454084035735</v>
      </c>
      <c r="N206" s="6">
        <v>17.253196697038629</v>
      </c>
      <c r="O206" s="6">
        <v>15.164921925076145</v>
      </c>
      <c r="P206" s="6">
        <v>4.7913048105345954E-2</v>
      </c>
      <c r="Q206" s="6">
        <v>0.1302870865242057</v>
      </c>
      <c r="R206" s="6">
        <v>5.4510880266998601E-2</v>
      </c>
      <c r="S206" s="6">
        <v>0.14822817697262225</v>
      </c>
    </row>
    <row r="207" spans="1:19" ht="16" x14ac:dyDescent="0.2">
      <c r="A207" s="4" t="s">
        <v>144</v>
      </c>
      <c r="B207" s="5" t="s">
        <v>145</v>
      </c>
      <c r="C207" s="5" t="s">
        <v>29</v>
      </c>
      <c r="D207" s="4" t="s">
        <v>25</v>
      </c>
      <c r="E207" s="5" t="s">
        <v>146</v>
      </c>
      <c r="F207" s="5">
        <v>6</v>
      </c>
      <c r="G207" s="5" t="str">
        <f t="shared" si="5"/>
        <v>QUAG6</v>
      </c>
      <c r="H207" s="6">
        <v>0.9484528046043843</v>
      </c>
      <c r="I207" s="6">
        <v>-2.2612238943264633</v>
      </c>
      <c r="J207" s="6">
        <v>-2.7954738096642249</v>
      </c>
      <c r="K207" s="6">
        <v>50.951876733260562</v>
      </c>
      <c r="L207" s="6">
        <v>90.626291824970068</v>
      </c>
      <c r="M207" s="6">
        <v>80.888752615359607</v>
      </c>
      <c r="N207" s="6">
        <v>20.793063120814328</v>
      </c>
      <c r="O207" s="6">
        <v>10.198607230427948</v>
      </c>
      <c r="P207" s="6">
        <v>3.7969401208549795E-2</v>
      </c>
      <c r="Q207" s="6">
        <v>8.093617070096612E-2</v>
      </c>
      <c r="R207" s="6">
        <v>7.7412546453734868E-2</v>
      </c>
      <c r="S207" s="6">
        <v>0.16501379728804133</v>
      </c>
    </row>
    <row r="208" spans="1:19" ht="16" x14ac:dyDescent="0.2">
      <c r="A208" s="4" t="s">
        <v>144</v>
      </c>
      <c r="B208" s="5" t="s">
        <v>145</v>
      </c>
      <c r="C208" s="5" t="s">
        <v>29</v>
      </c>
      <c r="D208" s="4" t="s">
        <v>41</v>
      </c>
      <c r="E208" s="5" t="s">
        <v>147</v>
      </c>
      <c r="F208" s="5">
        <v>1</v>
      </c>
      <c r="G208" s="5" t="str">
        <f t="shared" si="5"/>
        <v>QUAG_a1</v>
      </c>
      <c r="H208" s="6">
        <v>1.010563295003186</v>
      </c>
      <c r="I208" s="6">
        <v>-2.1020532524874955</v>
      </c>
      <c r="J208" s="6">
        <v>-2.7468797505766558</v>
      </c>
      <c r="K208" s="6">
        <v>-24.486760674486774</v>
      </c>
      <c r="L208" s="6">
        <v>70.776892607934158</v>
      </c>
      <c r="M208" s="6">
        <v>76.525128267672045</v>
      </c>
      <c r="N208" s="6">
        <v>8.5161680708708936</v>
      </c>
      <c r="O208" s="6">
        <v>10.601501765022109</v>
      </c>
      <c r="P208" s="6">
        <v>9.2486960621867662E-2</v>
      </c>
      <c r="Q208" s="6">
        <v>0.24266633412887775</v>
      </c>
      <c r="R208" s="6">
        <v>7.429461584570142E-2</v>
      </c>
      <c r="S208" s="6">
        <v>0.19493344739157487</v>
      </c>
    </row>
    <row r="209" spans="1:19" ht="16" x14ac:dyDescent="0.2">
      <c r="A209" s="4" t="s">
        <v>144</v>
      </c>
      <c r="B209" s="5" t="s">
        <v>145</v>
      </c>
      <c r="C209" s="5" t="s">
        <v>29</v>
      </c>
      <c r="D209" s="4" t="s">
        <v>41</v>
      </c>
      <c r="E209" s="5" t="s">
        <v>147</v>
      </c>
      <c r="F209" s="5">
        <v>2</v>
      </c>
      <c r="G209" s="5" t="str">
        <f t="shared" si="5"/>
        <v>QUAG_a2</v>
      </c>
      <c r="H209" s="6">
        <v>1.365242921647327</v>
      </c>
      <c r="I209" s="6">
        <v>-2.0923488162039656</v>
      </c>
      <c r="J209" s="6">
        <v>-3.0345656531335732</v>
      </c>
      <c r="K209" s="6">
        <v>-20.827670751624339</v>
      </c>
      <c r="L209" s="6">
        <v>62.483637277180918</v>
      </c>
      <c r="M209" s="6">
        <v>68.950520613826583</v>
      </c>
      <c r="N209" s="6">
        <v>5.0810744113230948</v>
      </c>
      <c r="O209" s="6">
        <v>6.1393438603585055</v>
      </c>
      <c r="P209" s="6">
        <v>0.13202527809474077</v>
      </c>
      <c r="Q209" s="6">
        <v>0.21982692346263685</v>
      </c>
      <c r="R209" s="6">
        <v>0.10926741968413378</v>
      </c>
      <c r="S209" s="6">
        <v>0.18193425570084554</v>
      </c>
    </row>
    <row r="210" spans="1:19" ht="16" x14ac:dyDescent="0.2">
      <c r="A210" s="4" t="s">
        <v>144</v>
      </c>
      <c r="B210" s="5" t="s">
        <v>145</v>
      </c>
      <c r="C210" s="5" t="s">
        <v>29</v>
      </c>
      <c r="D210" s="4" t="s">
        <v>41</v>
      </c>
      <c r="E210" s="5" t="s">
        <v>147</v>
      </c>
      <c r="F210" s="5">
        <v>3</v>
      </c>
      <c r="G210" s="5" t="str">
        <f t="shared" si="5"/>
        <v>QUAG_a3</v>
      </c>
      <c r="H210" s="6">
        <v>1.4915699729413119</v>
      </c>
      <c r="I210" s="6">
        <v>-2.0463028492874478</v>
      </c>
      <c r="J210" s="6">
        <v>-2.9809875710239133</v>
      </c>
      <c r="K210" s="6">
        <v>51.065610663154295</v>
      </c>
      <c r="L210" s="6">
        <v>84.656686755341525</v>
      </c>
      <c r="M210" s="6">
        <v>68.645131874353339</v>
      </c>
      <c r="N210" s="6">
        <v>13.397475904404914</v>
      </c>
      <c r="O210" s="6">
        <v>6.5559730203715061</v>
      </c>
      <c r="P210" s="6">
        <v>5.0497640766692303E-2</v>
      </c>
      <c r="Q210" s="6">
        <v>6.4519694419095969E-2</v>
      </c>
      <c r="R210" s="6">
        <v>0.10319458656996089</v>
      </c>
      <c r="S210" s="6">
        <v>0.13184939118166397</v>
      </c>
    </row>
    <row r="211" spans="1:19" ht="16" x14ac:dyDescent="0.2">
      <c r="A211" s="4" t="s">
        <v>144</v>
      </c>
      <c r="B211" s="5" t="s">
        <v>145</v>
      </c>
      <c r="C211" s="5" t="s">
        <v>29</v>
      </c>
      <c r="D211" s="4" t="s">
        <v>41</v>
      </c>
      <c r="E211" s="5" t="s">
        <v>147</v>
      </c>
      <c r="F211" s="5">
        <v>4</v>
      </c>
      <c r="G211" s="5" t="str">
        <f t="shared" si="5"/>
        <v>QUAG_a4</v>
      </c>
      <c r="H211" s="6">
        <v>1.0941459947637115</v>
      </c>
      <c r="I211" s="6">
        <v>-2.1984887377668625</v>
      </c>
      <c r="J211" s="6">
        <v>-2.7001509779274175</v>
      </c>
      <c r="K211" s="6">
        <v>-31.277272416107763</v>
      </c>
      <c r="L211" s="6">
        <v>75.609937703193737</v>
      </c>
      <c r="M211" s="6">
        <v>81.420955929448752</v>
      </c>
      <c r="N211" s="6">
        <v>8.7528280639891403</v>
      </c>
      <c r="O211" s="6">
        <v>11.490473941676543</v>
      </c>
      <c r="P211" s="6">
        <v>9.2280003664812038E-2</v>
      </c>
      <c r="Q211" s="6">
        <v>0.2951367462147213</v>
      </c>
      <c r="R211" s="6">
        <v>7.0293967848687078E-2</v>
      </c>
      <c r="S211" s="6">
        <v>0.22481937717233275</v>
      </c>
    </row>
    <row r="212" spans="1:19" ht="16" x14ac:dyDescent="0.2">
      <c r="A212" s="4" t="s">
        <v>144</v>
      </c>
      <c r="B212" s="5" t="s">
        <v>145</v>
      </c>
      <c r="C212" s="5" t="s">
        <v>29</v>
      </c>
      <c r="D212" s="4" t="s">
        <v>41</v>
      </c>
      <c r="E212" s="5" t="s">
        <v>147</v>
      </c>
      <c r="F212" s="5">
        <v>5</v>
      </c>
      <c r="G212" s="5" t="str">
        <f t="shared" si="5"/>
        <v>QUAG_a5</v>
      </c>
      <c r="H212" s="6">
        <v>0.85559747694209798</v>
      </c>
      <c r="I212" s="6">
        <v>-2.4543051229336563</v>
      </c>
      <c r="J212" s="6">
        <v>-3.508401961228484</v>
      </c>
      <c r="K212" s="6">
        <v>13.702190695362233</v>
      </c>
      <c r="L212" s="6">
        <v>74.071885449540574</v>
      </c>
      <c r="M212" s="6">
        <v>69.955072139860206</v>
      </c>
      <c r="N212" s="6">
        <v>8.6894007297740963</v>
      </c>
      <c r="O212" s="6">
        <v>7.4987624714962822</v>
      </c>
      <c r="P212" s="6">
        <v>7.7326532451317292E-2</v>
      </c>
      <c r="Q212" s="6">
        <v>8.9858305697205876E-2</v>
      </c>
      <c r="R212" s="6">
        <v>8.9604282048862324E-2</v>
      </c>
      <c r="S212" s="6">
        <v>0.1041258247703592</v>
      </c>
    </row>
    <row r="213" spans="1:19" ht="16" x14ac:dyDescent="0.2">
      <c r="A213" s="4" t="s">
        <v>148</v>
      </c>
      <c r="B213" s="5" t="s">
        <v>145</v>
      </c>
      <c r="C213" s="5" t="s">
        <v>29</v>
      </c>
      <c r="D213" s="4" t="s">
        <v>41</v>
      </c>
      <c r="E213" s="5" t="s">
        <v>149</v>
      </c>
      <c r="F213" s="5">
        <v>1</v>
      </c>
      <c r="G213" s="5" t="str">
        <f t="shared" si="5"/>
        <v>QUBE1</v>
      </c>
      <c r="H213" s="6">
        <v>1.007268303150215</v>
      </c>
      <c r="I213" s="6">
        <v>-1.1546109749113109</v>
      </c>
      <c r="J213" s="6">
        <v>-1.9040248816529124</v>
      </c>
      <c r="K213" s="6">
        <v>20.918629773560639</v>
      </c>
      <c r="L213" s="6">
        <v>68.8739999235586</v>
      </c>
      <c r="M213" s="6">
        <v>60.640540259588192</v>
      </c>
      <c r="N213" s="6">
        <v>4.1373627968354816</v>
      </c>
      <c r="O213" s="6">
        <v>3.2718831909764567</v>
      </c>
      <c r="P213" s="6">
        <v>0.15173863983144456</v>
      </c>
      <c r="Q213" s="6">
        <v>7.8412413155637017E-2</v>
      </c>
      <c r="R213" s="6">
        <v>0.19187659419274011</v>
      </c>
      <c r="S213" s="6">
        <v>9.9154090187250452E-2</v>
      </c>
    </row>
    <row r="214" spans="1:19" ht="16" x14ac:dyDescent="0.2">
      <c r="A214" s="4" t="s">
        <v>148</v>
      </c>
      <c r="B214" s="5" t="s">
        <v>145</v>
      </c>
      <c r="C214" s="5" t="s">
        <v>29</v>
      </c>
      <c r="D214" s="4" t="s">
        <v>41</v>
      </c>
      <c r="E214" s="5" t="s">
        <v>149</v>
      </c>
      <c r="F214" s="5">
        <v>2</v>
      </c>
      <c r="G214" s="5" t="str">
        <f t="shared" si="5"/>
        <v>QUBE2</v>
      </c>
      <c r="H214" s="6">
        <v>1.2247144358055349</v>
      </c>
      <c r="I214" s="6">
        <v>-1.0313620024514458</v>
      </c>
      <c r="J214" s="6">
        <v>-2.2587842051708127</v>
      </c>
      <c r="K214" s="6">
        <v>13.468007617063563</v>
      </c>
      <c r="L214" s="6">
        <v>52.978558795824647</v>
      </c>
      <c r="M214" s="6">
        <v>45.660050220399548</v>
      </c>
      <c r="N214" s="6">
        <v>1.8437250475524183</v>
      </c>
      <c r="O214" s="6">
        <v>1.595412017710347</v>
      </c>
      <c r="P214" s="6">
        <v>0.22024458367351096</v>
      </c>
      <c r="Q214" s="6">
        <v>7.0302720533790108E-2</v>
      </c>
      <c r="R214" s="6">
        <v>0.25452387909762519</v>
      </c>
      <c r="S214" s="6">
        <v>8.1244772710969249E-2</v>
      </c>
    </row>
    <row r="215" spans="1:19" ht="16" x14ac:dyDescent="0.2">
      <c r="A215" s="4" t="s">
        <v>148</v>
      </c>
      <c r="B215" s="5" t="s">
        <v>145</v>
      </c>
      <c r="C215" s="5" t="s">
        <v>29</v>
      </c>
      <c r="D215" s="4" t="s">
        <v>41</v>
      </c>
      <c r="E215" s="5" t="s">
        <v>149</v>
      </c>
      <c r="F215" s="5">
        <v>4</v>
      </c>
      <c r="G215" s="5" t="str">
        <f t="shared" si="5"/>
        <v>QUBE4</v>
      </c>
      <c r="H215" s="6">
        <v>1.4302189676762247</v>
      </c>
      <c r="I215" s="6">
        <v>-2.0163542354563959</v>
      </c>
      <c r="J215" s="6">
        <v>-3.1204794294254481</v>
      </c>
      <c r="K215" s="6">
        <v>2.8338331248485673</v>
      </c>
      <c r="L215" s="6">
        <v>65.619509670022325</v>
      </c>
      <c r="M215" s="6">
        <v>64.616809085251788</v>
      </c>
      <c r="N215" s="6">
        <v>6.113542335171803</v>
      </c>
      <c r="O215" s="6">
        <v>5.9402947473760888</v>
      </c>
      <c r="P215" s="6">
        <v>0.10951060397854692</v>
      </c>
      <c r="Q215" s="6">
        <v>9.0384472748941513E-2</v>
      </c>
      <c r="R215" s="6">
        <v>0.11270446030793452</v>
      </c>
      <c r="S215" s="6">
        <v>9.3020519030123344E-2</v>
      </c>
    </row>
    <row r="216" spans="1:19" ht="16" x14ac:dyDescent="0.2">
      <c r="A216" s="4" t="s">
        <v>148</v>
      </c>
      <c r="B216" s="5" t="s">
        <v>145</v>
      </c>
      <c r="C216" s="5" t="s">
        <v>29</v>
      </c>
      <c r="D216" s="4" t="s">
        <v>41</v>
      </c>
      <c r="E216" s="5" t="s">
        <v>149</v>
      </c>
      <c r="F216" s="5">
        <v>5</v>
      </c>
      <c r="G216" s="5" t="str">
        <f t="shared" si="5"/>
        <v>QUBE5</v>
      </c>
      <c r="H216" s="6">
        <v>1.2669429696474916</v>
      </c>
      <c r="I216" s="6">
        <v>-1.1786881106685425</v>
      </c>
      <c r="J216" s="6">
        <v>-1.9458484287885345</v>
      </c>
      <c r="K216" s="6">
        <v>-11.700798012372502</v>
      </c>
      <c r="L216" s="6">
        <v>55.961410729827556</v>
      </c>
      <c r="M216" s="6">
        <v>60.574507923126461</v>
      </c>
      <c r="N216" s="6">
        <v>2.651141736868464</v>
      </c>
      <c r="O216" s="6">
        <v>2.9613464765211623</v>
      </c>
      <c r="P216" s="6">
        <v>0.21723730824552553</v>
      </c>
      <c r="Q216" s="6">
        <v>0.17934372045250993</v>
      </c>
      <c r="R216" s="6">
        <v>0.19448142905967616</v>
      </c>
      <c r="S216" s="6">
        <v>0.16055724188527687</v>
      </c>
    </row>
    <row r="217" spans="1:19" ht="16" x14ac:dyDescent="0.2">
      <c r="A217" s="4" t="s">
        <v>148</v>
      </c>
      <c r="B217" s="5" t="s">
        <v>145</v>
      </c>
      <c r="C217" s="5" t="s">
        <v>29</v>
      </c>
      <c r="D217" s="4" t="s">
        <v>41</v>
      </c>
      <c r="E217" s="5" t="s">
        <v>149</v>
      </c>
      <c r="F217" s="5">
        <v>6</v>
      </c>
      <c r="G217" s="5" t="str">
        <f t="shared" si="5"/>
        <v>QUBE6</v>
      </c>
      <c r="H217" s="6">
        <v>1.0073779487818004</v>
      </c>
      <c r="I217" s="6">
        <v>-1.1819826586359641</v>
      </c>
      <c r="J217" s="6">
        <v>-2.6576595229841549</v>
      </c>
      <c r="K217" s="6">
        <v>1.893801365092969</v>
      </c>
      <c r="L217" s="6">
        <v>45.526111857954682</v>
      </c>
      <c r="M217" s="6">
        <v>44.474570516420933</v>
      </c>
      <c r="N217" s="6">
        <v>2.4162427223030396</v>
      </c>
      <c r="O217" s="6">
        <v>2.3704838846441136</v>
      </c>
      <c r="P217" s="6">
        <v>0.19289503896273724</v>
      </c>
      <c r="Q217" s="6">
        <v>6.5769552407033083E-2</v>
      </c>
      <c r="R217" s="6">
        <v>0.19661860478416579</v>
      </c>
      <c r="S217" s="6">
        <v>6.7039140566223107E-2</v>
      </c>
    </row>
    <row r="218" spans="1:19" ht="16" x14ac:dyDescent="0.2">
      <c r="A218" s="4" t="s">
        <v>150</v>
      </c>
      <c r="B218" s="5" t="s">
        <v>145</v>
      </c>
      <c r="C218" s="5" t="s">
        <v>29</v>
      </c>
      <c r="D218" s="4" t="s">
        <v>25</v>
      </c>
      <c r="E218" s="5" t="s">
        <v>151</v>
      </c>
      <c r="F218" s="5">
        <v>1</v>
      </c>
      <c r="G218" s="5" t="str">
        <f t="shared" si="5"/>
        <v>QUEN1</v>
      </c>
      <c r="H218" s="6">
        <v>1.4049286989950118</v>
      </c>
      <c r="I218" s="6">
        <v>-1.6634049840942193</v>
      </c>
      <c r="J218" s="6">
        <v>-2.1051450549894577</v>
      </c>
      <c r="K218" s="6">
        <v>-10.918694853664491</v>
      </c>
      <c r="L218" s="6">
        <v>76.72500903814894</v>
      </c>
      <c r="M218" s="6">
        <v>79.016169463084779</v>
      </c>
      <c r="N218" s="6">
        <v>6.6125790756751552</v>
      </c>
      <c r="O218" s="6">
        <v>7.3345864069053981</v>
      </c>
      <c r="P218" s="6">
        <v>0.11648516964841137</v>
      </c>
      <c r="Q218" s="6">
        <v>0.20905030989289991</v>
      </c>
      <c r="R218" s="6">
        <v>0.1050185181155356</v>
      </c>
      <c r="S218" s="6">
        <v>0.18847166401362775</v>
      </c>
    </row>
    <row r="219" spans="1:19" ht="16" x14ac:dyDescent="0.2">
      <c r="A219" s="4" t="s">
        <v>150</v>
      </c>
      <c r="B219" s="5" t="s">
        <v>145</v>
      </c>
      <c r="C219" s="5" t="s">
        <v>29</v>
      </c>
      <c r="D219" s="4" t="s">
        <v>25</v>
      </c>
      <c r="E219" s="5" t="s">
        <v>151</v>
      </c>
      <c r="F219" s="5">
        <v>2</v>
      </c>
      <c r="G219" s="5" t="str">
        <f t="shared" si="5"/>
        <v>QUEN2</v>
      </c>
      <c r="H219" s="6">
        <v>1.7127696965507386</v>
      </c>
      <c r="I219" s="6">
        <v>-1.6297059195060053</v>
      </c>
      <c r="J219" s="6">
        <v>-2.1779274355933085</v>
      </c>
      <c r="K219" s="6">
        <v>-34.41052529110101</v>
      </c>
      <c r="L219" s="6">
        <v>66.166576191229012</v>
      </c>
      <c r="M219" s="6">
        <v>74.828292847233584</v>
      </c>
      <c r="N219" s="6">
        <v>4.5762627054309206</v>
      </c>
      <c r="O219" s="6">
        <v>6.1509787410704515</v>
      </c>
      <c r="P219" s="6">
        <v>0.15473837810469421</v>
      </c>
      <c r="Q219" s="6">
        <v>0.27338386476722443</v>
      </c>
      <c r="R219" s="6">
        <v>0.11512370610081907</v>
      </c>
      <c r="S219" s="6">
        <v>0.20339468518193859</v>
      </c>
    </row>
    <row r="220" spans="1:19" ht="16" x14ac:dyDescent="0.2">
      <c r="A220" s="4" t="s">
        <v>150</v>
      </c>
      <c r="B220" s="5" t="s">
        <v>145</v>
      </c>
      <c r="C220" s="5" t="s">
        <v>29</v>
      </c>
      <c r="D220" s="4" t="s">
        <v>25</v>
      </c>
      <c r="E220" s="5" t="s">
        <v>151</v>
      </c>
      <c r="F220" s="5">
        <v>3</v>
      </c>
      <c r="G220" s="5" t="str">
        <f t="shared" si="5"/>
        <v>QUEN3</v>
      </c>
      <c r="H220" s="6">
        <v>1.5154765928486751</v>
      </c>
      <c r="I220" s="6">
        <v>-1.8182146366015026</v>
      </c>
      <c r="J220" s="6">
        <v>-2.2461823518589066</v>
      </c>
      <c r="K220" s="6">
        <v>-21.694579030273957</v>
      </c>
      <c r="L220" s="6">
        <v>76.813391440059988</v>
      </c>
      <c r="M220" s="6">
        <v>80.946884614990211</v>
      </c>
      <c r="N220" s="6">
        <v>7.165075834500449</v>
      </c>
      <c r="O220" s="6">
        <v>8.7195088739952151</v>
      </c>
      <c r="P220" s="6">
        <v>0.11058055999133168</v>
      </c>
      <c r="Q220" s="6">
        <v>0.25970462215829265</v>
      </c>
      <c r="R220" s="6">
        <v>9.0867285028220127E-2</v>
      </c>
      <c r="S220" s="6">
        <v>0.2134068947259225</v>
      </c>
    </row>
    <row r="221" spans="1:19" ht="16" x14ac:dyDescent="0.2">
      <c r="A221" s="4" t="s">
        <v>150</v>
      </c>
      <c r="B221" s="5" t="s">
        <v>145</v>
      </c>
      <c r="C221" s="5" t="s">
        <v>29</v>
      </c>
      <c r="D221" s="4" t="s">
        <v>25</v>
      </c>
      <c r="E221" s="5" t="s">
        <v>151</v>
      </c>
      <c r="F221" s="5">
        <v>4</v>
      </c>
      <c r="G221" s="5" t="str">
        <f t="shared" si="5"/>
        <v>QUEN4</v>
      </c>
      <c r="H221" s="6">
        <v>1.5718874545582233</v>
      </c>
      <c r="I221" s="6">
        <v>-1.8312985548382283</v>
      </c>
      <c r="J221" s="6">
        <v>-2.3125740895791114</v>
      </c>
      <c r="K221" s="6">
        <v>-15.59129716248701</v>
      </c>
      <c r="L221" s="6">
        <v>75.944008192449672</v>
      </c>
      <c r="M221" s="6">
        <v>79.188751750285519</v>
      </c>
      <c r="N221" s="6">
        <v>8.4446760176454401</v>
      </c>
      <c r="O221" s="6">
        <v>9.7613105499658097</v>
      </c>
      <c r="P221" s="6">
        <v>9.5371834608440537E-2</v>
      </c>
      <c r="Q221" s="6">
        <v>0.20323379924220084</v>
      </c>
      <c r="R221" s="6">
        <v>8.2507798553706116E-2</v>
      </c>
      <c r="S221" s="6">
        <v>0.17582102133218075</v>
      </c>
    </row>
    <row r="222" spans="1:19" ht="16" x14ac:dyDescent="0.2">
      <c r="A222" s="4" t="s">
        <v>150</v>
      </c>
      <c r="B222" s="5" t="s">
        <v>145</v>
      </c>
      <c r="C222" s="5" t="s">
        <v>29</v>
      </c>
      <c r="D222" s="4" t="s">
        <v>25</v>
      </c>
      <c r="E222" s="5" t="s">
        <v>151</v>
      </c>
      <c r="F222" s="5">
        <v>5</v>
      </c>
      <c r="G222" s="5" t="str">
        <f t="shared" si="5"/>
        <v>QUEN5</v>
      </c>
      <c r="H222" s="6">
        <v>1.3667373502768136</v>
      </c>
      <c r="I222" s="6">
        <v>-2.2442452145399527</v>
      </c>
      <c r="J222" s="6">
        <v>-2.7815185460141265</v>
      </c>
      <c r="K222" s="6">
        <v>-39.395062444219292</v>
      </c>
      <c r="L222" s="6">
        <v>73.074689831647149</v>
      </c>
      <c r="M222" s="6">
        <v>80.684172239510019</v>
      </c>
      <c r="N222" s="6">
        <v>8.1170128043468566</v>
      </c>
      <c r="O222" s="6">
        <v>11.314715067224572</v>
      </c>
      <c r="P222" s="6">
        <v>9.8488496501776795E-2</v>
      </c>
      <c r="Q222" s="6">
        <v>0.27274791074246502</v>
      </c>
      <c r="R222" s="6">
        <v>7.0654221731267036E-2</v>
      </c>
      <c r="S222" s="6">
        <v>0.19566540303506627</v>
      </c>
    </row>
    <row r="223" spans="1:19" ht="16" x14ac:dyDescent="0.2">
      <c r="A223" s="4" t="s">
        <v>150</v>
      </c>
      <c r="B223" s="5" t="s">
        <v>145</v>
      </c>
      <c r="C223" s="5" t="s">
        <v>29</v>
      </c>
      <c r="D223" s="4" t="s">
        <v>25</v>
      </c>
      <c r="E223" s="5" t="s">
        <v>151</v>
      </c>
      <c r="F223" s="5">
        <v>6</v>
      </c>
      <c r="G223" s="5" t="str">
        <f t="shared" si="5"/>
        <v>QUEN6</v>
      </c>
      <c r="H223" s="6">
        <v>1.8493592351647545</v>
      </c>
      <c r="I223" s="6">
        <v>-1.7271579609180661</v>
      </c>
      <c r="J223" s="6">
        <v>-2.5679500316209158</v>
      </c>
      <c r="K223" s="6">
        <v>-64.491763112631389</v>
      </c>
      <c r="L223" s="6">
        <v>46.142499496482209</v>
      </c>
      <c r="M223" s="6">
        <v>67.258238659257188</v>
      </c>
      <c r="N223" s="6">
        <v>3.2395839351612623</v>
      </c>
      <c r="O223" s="6">
        <v>5.3288487324603055</v>
      </c>
      <c r="P223" s="6">
        <v>0.19729226277244827</v>
      </c>
      <c r="Q223" s="6">
        <v>0.30250394338667547</v>
      </c>
      <c r="R223" s="6">
        <v>0.11994051193758461</v>
      </c>
      <c r="S223" s="6">
        <v>0.18390218310174256</v>
      </c>
    </row>
    <row r="224" spans="1:19" ht="16" x14ac:dyDescent="0.2">
      <c r="A224" s="4" t="s">
        <v>152</v>
      </c>
      <c r="B224" s="5" t="s">
        <v>57</v>
      </c>
      <c r="C224" s="5" t="s">
        <v>29</v>
      </c>
      <c r="D224" s="7" t="s">
        <v>25</v>
      </c>
      <c r="E224" s="5" t="s">
        <v>153</v>
      </c>
      <c r="F224" s="5">
        <v>1</v>
      </c>
      <c r="G224" s="5" t="str">
        <f t="shared" si="5"/>
        <v>RAIN1</v>
      </c>
      <c r="H224" s="6">
        <v>1.4630808362334566</v>
      </c>
      <c r="I224" s="6">
        <v>-1.847453709143436</v>
      </c>
      <c r="J224" s="6">
        <v>-2.5500643157821363</v>
      </c>
      <c r="K224" s="6">
        <v>62.996064776686715</v>
      </c>
      <c r="L224" s="6">
        <v>89.804430729702204</v>
      </c>
      <c r="M224" s="6">
        <v>72.447337806725059</v>
      </c>
      <c r="N224" s="6">
        <v>18.303239846056499</v>
      </c>
      <c r="O224" s="6">
        <v>6.7729190164025459</v>
      </c>
      <c r="P224" s="6">
        <v>3.9808015166445471E-2</v>
      </c>
      <c r="Q224" s="6">
        <v>7.8591102200147089E-2</v>
      </c>
      <c r="R224" s="6">
        <v>0.10757778848711413</v>
      </c>
      <c r="S224" s="6">
        <v>0.21238579552650738</v>
      </c>
    </row>
    <row r="225" spans="1:19" ht="16" x14ac:dyDescent="0.2">
      <c r="A225" s="4" t="s">
        <v>152</v>
      </c>
      <c r="B225" s="5" t="s">
        <v>57</v>
      </c>
      <c r="C225" s="5" t="s">
        <v>29</v>
      </c>
      <c r="D225" s="7" t="s">
        <v>25</v>
      </c>
      <c r="E225" s="5" t="s">
        <v>153</v>
      </c>
      <c r="F225" s="5">
        <v>2</v>
      </c>
      <c r="G225" s="5" t="str">
        <f t="shared" si="5"/>
        <v>RAIN2</v>
      </c>
      <c r="H225" s="6">
        <v>1.4444782733372237</v>
      </c>
      <c r="I225" s="6">
        <v>-1.5203710322141373</v>
      </c>
      <c r="J225" s="6">
        <v>-2.0041012259005053</v>
      </c>
      <c r="K225" s="6">
        <v>72.117581718887152</v>
      </c>
      <c r="L225" s="6">
        <v>93.270016792935863</v>
      </c>
      <c r="M225" s="6">
        <v>75.86298598919258</v>
      </c>
      <c r="N225" s="6">
        <v>19.507775648785771</v>
      </c>
      <c r="O225" s="6">
        <v>5.4392396037355226</v>
      </c>
      <c r="P225" s="6">
        <v>3.7687519705550801E-2</v>
      </c>
      <c r="Q225" s="6">
        <v>7.1406486257757168E-2</v>
      </c>
      <c r="R225" s="6">
        <v>0.14637846705390017</v>
      </c>
      <c r="S225" s="6">
        <v>0.25609861217140883</v>
      </c>
    </row>
    <row r="226" spans="1:19" ht="16" x14ac:dyDescent="0.2">
      <c r="A226" s="4" t="s">
        <v>152</v>
      </c>
      <c r="B226" s="5" t="s">
        <v>57</v>
      </c>
      <c r="C226" s="5" t="s">
        <v>29</v>
      </c>
      <c r="D226" s="7" t="s">
        <v>25</v>
      </c>
      <c r="E226" s="5" t="s">
        <v>153</v>
      </c>
      <c r="F226" s="5">
        <v>3</v>
      </c>
      <c r="G226" s="5" t="str">
        <f t="shared" si="5"/>
        <v>RAIN3</v>
      </c>
      <c r="H226" s="6">
        <v>1.4645780231636634</v>
      </c>
      <c r="I226" s="6">
        <v>-0.95372196673625964</v>
      </c>
      <c r="J226" s="6">
        <v>-1.4003976042615045</v>
      </c>
      <c r="K226" s="6">
        <v>82.626671931514124</v>
      </c>
      <c r="L226" s="6">
        <v>94.458543511277639</v>
      </c>
      <c r="M226" s="6">
        <v>68.103655978417748</v>
      </c>
      <c r="N226" s="6">
        <v>14.909538067203364</v>
      </c>
      <c r="O226" s="6">
        <v>2.5902829619110248</v>
      </c>
      <c r="P226" s="6">
        <v>4.3695443104545081E-2</v>
      </c>
      <c r="Q226" s="6">
        <v>4.6868510411530478E-2</v>
      </c>
      <c r="R226" s="6">
        <v>0.25150876638199177</v>
      </c>
      <c r="S226" s="6">
        <v>0.26977278174207148</v>
      </c>
    </row>
    <row r="227" spans="1:19" ht="16" x14ac:dyDescent="0.2">
      <c r="A227" s="4" t="s">
        <v>152</v>
      </c>
      <c r="B227" s="5" t="s">
        <v>57</v>
      </c>
      <c r="C227" s="5" t="s">
        <v>29</v>
      </c>
      <c r="D227" s="7" t="s">
        <v>25</v>
      </c>
      <c r="E227" s="5" t="s">
        <v>153</v>
      </c>
      <c r="F227" s="5">
        <v>4</v>
      </c>
      <c r="G227" s="5" t="str">
        <f t="shared" si="5"/>
        <v>RAIN4</v>
      </c>
      <c r="H227" s="6">
        <v>1.3802688871366593</v>
      </c>
      <c r="I227" s="6">
        <v>-1.0353967657563214</v>
      </c>
      <c r="J227" s="6">
        <v>-1.6185517432944658</v>
      </c>
      <c r="K227" s="6">
        <v>74.565912918227966</v>
      </c>
      <c r="L227" s="6">
        <v>99.053296615170282</v>
      </c>
      <c r="M227" s="6">
        <v>96.277816531074961</v>
      </c>
      <c r="N227" s="6">
        <v>10.351951132614374</v>
      </c>
      <c r="O227" s="6">
        <v>2.6329242657316207</v>
      </c>
      <c r="P227" s="6">
        <v>6.0644456740820321E-2</v>
      </c>
      <c r="Q227" s="6">
        <v>5.8909730771841751E-2</v>
      </c>
      <c r="R227" s="6">
        <v>0.2384377176418602</v>
      </c>
      <c r="S227" s="6">
        <v>0.23161724099804892</v>
      </c>
    </row>
    <row r="228" spans="1:19" ht="16" x14ac:dyDescent="0.2">
      <c r="A228" s="4" t="s">
        <v>152</v>
      </c>
      <c r="B228" s="5" t="s">
        <v>57</v>
      </c>
      <c r="C228" s="5" t="s">
        <v>29</v>
      </c>
      <c r="D228" s="7" t="s">
        <v>25</v>
      </c>
      <c r="E228" s="5" t="s">
        <v>153</v>
      </c>
      <c r="F228" s="5">
        <v>5</v>
      </c>
      <c r="G228" s="5" t="str">
        <f t="shared" si="5"/>
        <v>RAIN5</v>
      </c>
      <c r="H228" s="6">
        <v>1.3149232059887439</v>
      </c>
      <c r="I228" s="6">
        <v>-1.2323631838022069</v>
      </c>
      <c r="J228" s="6">
        <v>-1.7351087702000454</v>
      </c>
      <c r="K228" s="6">
        <v>70.598452138985436</v>
      </c>
      <c r="L228" s="6">
        <v>91.480938443596429</v>
      </c>
      <c r="M228" s="6">
        <v>71.025125627145798</v>
      </c>
      <c r="N228" s="6">
        <v>13.365809901261017</v>
      </c>
      <c r="O228" s="6">
        <v>3.9297549951314807</v>
      </c>
      <c r="P228" s="6">
        <v>5.2023816584168735E-2</v>
      </c>
      <c r="Q228" s="6">
        <v>6.8225230987323457E-2</v>
      </c>
      <c r="R228" s="6">
        <v>0.17694244136428788</v>
      </c>
      <c r="S228" s="6">
        <v>0.23204639194451276</v>
      </c>
    </row>
    <row r="229" spans="1:19" ht="16" x14ac:dyDescent="0.2">
      <c r="A229" s="4" t="s">
        <v>152</v>
      </c>
      <c r="B229" s="5" t="s">
        <v>57</v>
      </c>
      <c r="C229" s="5" t="s">
        <v>29</v>
      </c>
      <c r="D229" s="7" t="s">
        <v>25</v>
      </c>
      <c r="E229" s="5" t="s">
        <v>153</v>
      </c>
      <c r="F229" s="5">
        <v>6</v>
      </c>
      <c r="G229" s="5" t="str">
        <f t="shared" si="5"/>
        <v>RAIN6</v>
      </c>
      <c r="H229" s="6">
        <v>1.5878932217772856</v>
      </c>
      <c r="I229" s="6">
        <v>-1.6920365662721413</v>
      </c>
      <c r="J229" s="6">
        <v>-2.4020018944397714</v>
      </c>
      <c r="K229" s="6">
        <v>48.745036760515362</v>
      </c>
      <c r="L229" s="6">
        <v>84.8504504177222</v>
      </c>
      <c r="M229" s="6">
        <v>70.442765685943883</v>
      </c>
      <c r="N229" s="6">
        <v>11.231563482890133</v>
      </c>
      <c r="O229" s="6">
        <v>5.7567337343747171</v>
      </c>
      <c r="P229" s="6">
        <v>6.3100409989716874E-2</v>
      </c>
      <c r="Q229" s="6">
        <v>0.12311082869162417</v>
      </c>
      <c r="R229" s="6">
        <v>0.12138646914767058</v>
      </c>
      <c r="S229" s="6">
        <v>0.23682871174934256</v>
      </c>
    </row>
    <row r="230" spans="1:19" ht="16" x14ac:dyDescent="0.2">
      <c r="A230" s="4" t="s">
        <v>154</v>
      </c>
      <c r="B230" s="5" t="s">
        <v>123</v>
      </c>
      <c r="C230" s="5" t="s">
        <v>29</v>
      </c>
      <c r="D230" s="4" t="s">
        <v>41</v>
      </c>
      <c r="E230" s="5" t="s">
        <v>155</v>
      </c>
      <c r="F230" s="5">
        <v>1</v>
      </c>
      <c r="G230" s="5" t="str">
        <f t="shared" si="5"/>
        <v>RHIN1</v>
      </c>
      <c r="H230" s="6">
        <v>1.8180208920578249</v>
      </c>
      <c r="I230" s="6">
        <v>-2.4784672150033553</v>
      </c>
      <c r="J230" s="6">
        <v>-3.4332237583979763</v>
      </c>
      <c r="K230" s="6">
        <v>-12.228454090405691</v>
      </c>
      <c r="L230" s="6">
        <v>68.790018234093552</v>
      </c>
      <c r="M230" s="6">
        <v>72.190669452895406</v>
      </c>
      <c r="N230" s="6">
        <v>7.2394837945731618</v>
      </c>
      <c r="O230" s="6">
        <v>8.1247607467749017</v>
      </c>
      <c r="P230" s="6">
        <v>9.2875828489736995E-2</v>
      </c>
      <c r="Q230" s="6">
        <v>0.17406322899889806</v>
      </c>
      <c r="R230" s="6">
        <v>8.2756043681151317E-2</v>
      </c>
      <c r="S230" s="6">
        <v>0.15509723484088975</v>
      </c>
    </row>
    <row r="231" spans="1:19" ht="16" x14ac:dyDescent="0.2">
      <c r="A231" s="4" t="s">
        <v>154</v>
      </c>
      <c r="B231" s="5" t="s">
        <v>123</v>
      </c>
      <c r="C231" s="5" t="s">
        <v>29</v>
      </c>
      <c r="D231" s="4" t="s">
        <v>41</v>
      </c>
      <c r="E231" s="5" t="s">
        <v>155</v>
      </c>
      <c r="F231" s="5">
        <v>2</v>
      </c>
      <c r="G231" s="5" t="str">
        <f t="shared" si="5"/>
        <v>RHIN2</v>
      </c>
      <c r="H231" s="6">
        <v>1.5821815242686381</v>
      </c>
      <c r="I231" s="6">
        <v>-1.0754884777846609</v>
      </c>
      <c r="J231" s="6">
        <v>-1.7813375623473962</v>
      </c>
      <c r="K231" s="6">
        <v>42.087776246091828</v>
      </c>
      <c r="L231" s="6">
        <v>77.052473946700232</v>
      </c>
      <c r="M231" s="6">
        <v>60.375332588137468</v>
      </c>
      <c r="N231" s="6">
        <v>5.9644390801509548</v>
      </c>
      <c r="O231" s="6">
        <v>3.454139305762566</v>
      </c>
      <c r="P231" s="6">
        <v>0.1173480890373262</v>
      </c>
      <c r="Q231" s="6">
        <v>8.5536288543227521E-2</v>
      </c>
      <c r="R231" s="6">
        <v>0.20263094979046964</v>
      </c>
      <c r="S231" s="6">
        <v>0.14769988613579188</v>
      </c>
    </row>
    <row r="232" spans="1:19" ht="16" x14ac:dyDescent="0.2">
      <c r="A232" s="4" t="s">
        <v>154</v>
      </c>
      <c r="B232" s="5" t="s">
        <v>123</v>
      </c>
      <c r="C232" s="5" t="s">
        <v>29</v>
      </c>
      <c r="D232" s="4" t="s">
        <v>41</v>
      </c>
      <c r="E232" s="5" t="s">
        <v>155</v>
      </c>
      <c r="F232" s="5">
        <v>3</v>
      </c>
      <c r="G232" s="5" t="str">
        <f t="shared" si="5"/>
        <v>RHIN3</v>
      </c>
      <c r="H232" s="6">
        <v>1.5637090981071653</v>
      </c>
      <c r="I232" s="6">
        <v>-2.9315881289999988</v>
      </c>
      <c r="J232" s="6">
        <v>-3.6906462762292556</v>
      </c>
      <c r="K232" s="6">
        <v>-28.744018029004366</v>
      </c>
      <c r="L232" s="6">
        <v>73.521115686060497</v>
      </c>
      <c r="M232" s="6">
        <v>79.432920675216039</v>
      </c>
      <c r="N232" s="6">
        <v>11.038628999420999</v>
      </c>
      <c r="O232" s="6">
        <v>14.211574509169472</v>
      </c>
      <c r="P232" s="6">
        <v>7.0983321585493572E-2</v>
      </c>
      <c r="Q232" s="6">
        <v>0.19741013537293181</v>
      </c>
      <c r="R232" s="6">
        <v>5.5135238648138171E-2</v>
      </c>
      <c r="S232" s="6">
        <v>0.15333538473877517</v>
      </c>
    </row>
    <row r="233" spans="1:19" ht="16" x14ac:dyDescent="0.2">
      <c r="A233" s="4" t="s">
        <v>154</v>
      </c>
      <c r="B233" s="5" t="s">
        <v>123</v>
      </c>
      <c r="C233" s="5" t="s">
        <v>29</v>
      </c>
      <c r="D233" s="4" t="s">
        <v>41</v>
      </c>
      <c r="E233" s="5" t="s">
        <v>155</v>
      </c>
      <c r="F233" s="5">
        <v>4</v>
      </c>
      <c r="G233" s="5" t="str">
        <f t="shared" si="5"/>
        <v>RHIN4</v>
      </c>
      <c r="H233" s="6">
        <v>1.749451408277968</v>
      </c>
      <c r="I233" s="6">
        <v>-0.55864272580092533</v>
      </c>
      <c r="J233" s="6">
        <v>-0.77708257405123793</v>
      </c>
      <c r="K233" s="6">
        <v>47.107644219781804</v>
      </c>
      <c r="L233" s="6">
        <v>85.131826969175364</v>
      </c>
      <c r="M233" s="6">
        <v>71.889750774940225</v>
      </c>
      <c r="N233" s="6">
        <v>3.1079703710912949</v>
      </c>
      <c r="O233" s="6">
        <v>1.6438787462213751</v>
      </c>
      <c r="P233" s="6">
        <v>0.21201655138061309</v>
      </c>
      <c r="Q233" s="6">
        <v>0.12641335621737534</v>
      </c>
      <c r="R233" s="6">
        <v>0.40084535516171427</v>
      </c>
      <c r="S233" s="6">
        <v>0.23900118335181761</v>
      </c>
    </row>
    <row r="234" spans="1:19" ht="16" x14ac:dyDescent="0.2">
      <c r="A234" s="4" t="s">
        <v>154</v>
      </c>
      <c r="B234" s="5" t="s">
        <v>123</v>
      </c>
      <c r="C234" s="5" t="s">
        <v>29</v>
      </c>
      <c r="D234" s="4" t="s">
        <v>41</v>
      </c>
      <c r="E234" s="5" t="s">
        <v>155</v>
      </c>
      <c r="F234" s="5">
        <v>5</v>
      </c>
      <c r="G234" s="5" t="str">
        <f t="shared" si="5"/>
        <v>RHIN5</v>
      </c>
      <c r="H234" s="6">
        <v>1.5847940103548046</v>
      </c>
      <c r="I234" s="6">
        <v>-2.455915516630752</v>
      </c>
      <c r="J234" s="6">
        <v>-3.1838582226569581</v>
      </c>
      <c r="K234" s="6">
        <v>-23.914905420734527</v>
      </c>
      <c r="L234" s="6">
        <v>71.668665731705943</v>
      </c>
      <c r="M234" s="6">
        <v>77.136459756718324</v>
      </c>
      <c r="N234" s="6">
        <v>9.5541113273322154</v>
      </c>
      <c r="O234" s="6">
        <v>11.838968015055395</v>
      </c>
      <c r="P234" s="6">
        <v>8.2444565254053123E-2</v>
      </c>
      <c r="Q234" s="6">
        <v>0.16405068411891555</v>
      </c>
      <c r="R234" s="6">
        <v>6.6533210814409272E-2</v>
      </c>
      <c r="S234" s="6">
        <v>0.13238979085034711</v>
      </c>
    </row>
    <row r="235" spans="1:19" ht="16" x14ac:dyDescent="0.2">
      <c r="A235" s="4" t="s">
        <v>156</v>
      </c>
      <c r="B235" s="5" t="s">
        <v>157</v>
      </c>
      <c r="C235" s="5" t="s">
        <v>29</v>
      </c>
      <c r="D235" s="4" t="s">
        <v>41</v>
      </c>
      <c r="E235" s="5" t="s">
        <v>158</v>
      </c>
      <c r="F235" s="5">
        <v>1</v>
      </c>
      <c r="G235" s="5" t="str">
        <f t="shared" si="5"/>
        <v>ROCO1</v>
      </c>
      <c r="H235" s="6">
        <v>2.7472513554500311</v>
      </c>
      <c r="I235" s="6">
        <v>-0.95509895486711638</v>
      </c>
      <c r="J235" s="6">
        <v>-1.3169872499392374</v>
      </c>
      <c r="K235" s="6">
        <v>53.360997816368013</v>
      </c>
      <c r="L235" s="6">
        <v>87.184303428238792</v>
      </c>
      <c r="M235" s="6">
        <v>72.521503523377504</v>
      </c>
      <c r="N235" s="6">
        <v>5.6377371779586314</v>
      </c>
      <c r="O235" s="6">
        <v>2.6293843655355853</v>
      </c>
      <c r="P235" s="6">
        <v>0.11865025343023075</v>
      </c>
      <c r="Q235" s="6">
        <v>0.16498507179278757</v>
      </c>
      <c r="R235" s="6">
        <v>0.25440135482115867</v>
      </c>
      <c r="S235" s="6">
        <v>0.35374914571111715</v>
      </c>
    </row>
    <row r="236" spans="1:19" ht="16" x14ac:dyDescent="0.2">
      <c r="A236" s="4" t="s">
        <v>156</v>
      </c>
      <c r="B236" s="5" t="s">
        <v>157</v>
      </c>
      <c r="C236" s="5" t="s">
        <v>29</v>
      </c>
      <c r="D236" s="4" t="s">
        <v>41</v>
      </c>
      <c r="E236" s="5" t="s">
        <v>158</v>
      </c>
      <c r="F236" s="5">
        <v>2</v>
      </c>
      <c r="G236" s="5" t="str">
        <f t="shared" si="5"/>
        <v>ROCO2</v>
      </c>
      <c r="H236" s="6">
        <v>2.6526803118092759</v>
      </c>
      <c r="I236" s="6">
        <v>-1.0747338254745991</v>
      </c>
      <c r="J236" s="6">
        <v>-1.4856051145465905</v>
      </c>
      <c r="K236" s="6">
        <v>54.036140635203985</v>
      </c>
      <c r="L236" s="6">
        <v>87.287853304341056</v>
      </c>
      <c r="M236" s="6">
        <v>72.343169456750942</v>
      </c>
      <c r="N236" s="6">
        <v>7.0864083515786636</v>
      </c>
      <c r="O236" s="6">
        <v>3.2571867687347438</v>
      </c>
      <c r="P236" s="6">
        <v>9.7217418781300038E-2</v>
      </c>
      <c r="Q236" s="6">
        <v>0.16937889143687868</v>
      </c>
      <c r="R236" s="6">
        <v>0.21150838968879188</v>
      </c>
      <c r="S236" s="6">
        <v>0.21150838968879188</v>
      </c>
    </row>
    <row r="237" spans="1:19" ht="16" x14ac:dyDescent="0.2">
      <c r="A237" s="4" t="s">
        <v>156</v>
      </c>
      <c r="B237" s="5" t="s">
        <v>157</v>
      </c>
      <c r="C237" s="5" t="s">
        <v>29</v>
      </c>
      <c r="D237" s="4" t="s">
        <v>41</v>
      </c>
      <c r="E237" s="5" t="s">
        <v>158</v>
      </c>
      <c r="F237" s="5">
        <v>4</v>
      </c>
      <c r="G237" s="5" t="str">
        <f t="shared" si="5"/>
        <v>ROCO4</v>
      </c>
      <c r="H237" s="6">
        <v>2.6635729014574339</v>
      </c>
      <c r="I237" s="6">
        <v>-0.88579396763294549</v>
      </c>
      <c r="J237" s="6">
        <v>-1.2779179695710798</v>
      </c>
      <c r="K237" s="6">
        <v>61.605796633463044</v>
      </c>
      <c r="L237" s="6">
        <v>88.21889273505856</v>
      </c>
      <c r="M237" s="6">
        <v>69.315401201397407</v>
      </c>
      <c r="N237" s="6">
        <v>6.8492663977651773</v>
      </c>
      <c r="O237" s="6">
        <v>2.6297212698738255</v>
      </c>
      <c r="P237" s="6">
        <v>9.8580781542831161E-2</v>
      </c>
      <c r="Q237" s="6">
        <v>0.12960313643563315</v>
      </c>
      <c r="R237" s="6">
        <v>0.25675954414710256</v>
      </c>
      <c r="S237" s="6">
        <v>0.33755912369988406</v>
      </c>
    </row>
    <row r="238" spans="1:19" ht="16" x14ac:dyDescent="0.2">
      <c r="A238" s="4" t="s">
        <v>156</v>
      </c>
      <c r="B238" s="5" t="s">
        <v>157</v>
      </c>
      <c r="C238" s="5" t="s">
        <v>29</v>
      </c>
      <c r="D238" s="4" t="s">
        <v>41</v>
      </c>
      <c r="E238" s="5" t="s">
        <v>158</v>
      </c>
      <c r="F238" s="5">
        <v>5</v>
      </c>
      <c r="G238" s="5" t="str">
        <f t="shared" si="5"/>
        <v>ROCO5</v>
      </c>
      <c r="H238" s="6">
        <v>2.666017486864857</v>
      </c>
      <c r="I238" s="6">
        <v>-0.80252598109913342</v>
      </c>
      <c r="J238" s="6">
        <v>-1.2646579107892431</v>
      </c>
      <c r="K238" s="6">
        <v>68.039847056185152</v>
      </c>
      <c r="L238" s="6">
        <v>88.321104840202437</v>
      </c>
      <c r="M238" s="6">
        <v>63.457949715294625</v>
      </c>
      <c r="N238" s="6">
        <v>6.5046950672990276</v>
      </c>
      <c r="O238" s="6">
        <v>2.0789104920375365</v>
      </c>
      <c r="P238" s="6">
        <v>9.5199401934876055E-2</v>
      </c>
      <c r="Q238" s="6">
        <v>0.10120431360653534</v>
      </c>
      <c r="R238" s="6">
        <v>0.29786904368772832</v>
      </c>
      <c r="S238" s="6">
        <v>0.31665778879234385</v>
      </c>
    </row>
    <row r="239" spans="1:19" ht="16" x14ac:dyDescent="0.2">
      <c r="A239" s="4" t="s">
        <v>156</v>
      </c>
      <c r="B239" s="5" t="s">
        <v>157</v>
      </c>
      <c r="C239" s="5" t="s">
        <v>29</v>
      </c>
      <c r="D239" s="4" t="s">
        <v>41</v>
      </c>
      <c r="E239" s="5" t="s">
        <v>158</v>
      </c>
      <c r="F239" s="5">
        <v>6</v>
      </c>
      <c r="G239" s="5" t="str">
        <f t="shared" si="5"/>
        <v>ROCO6</v>
      </c>
      <c r="H239" s="6">
        <v>2.6580281968212023</v>
      </c>
      <c r="I239" s="6">
        <v>-0.97558440907126598</v>
      </c>
      <c r="J239" s="6">
        <v>-1.372998086947961</v>
      </c>
      <c r="K239" s="6">
        <v>57.822342805865034</v>
      </c>
      <c r="L239" s="6">
        <v>87.79169612173034</v>
      </c>
      <c r="M239" s="6">
        <v>71.055045039421259</v>
      </c>
      <c r="N239" s="6">
        <v>6.6896823540538239</v>
      </c>
      <c r="O239" s="6">
        <v>2.8215512906693125</v>
      </c>
      <c r="P239" s="6">
        <v>0.10020196846758261</v>
      </c>
      <c r="Q239" s="6">
        <v>0.15944457678048737</v>
      </c>
      <c r="R239" s="6">
        <v>0.23757120507280793</v>
      </c>
      <c r="S239" s="6">
        <v>0.37803089926640004</v>
      </c>
    </row>
    <row r="240" spans="1:19" ht="16" x14ac:dyDescent="0.2">
      <c r="A240" s="23" t="s">
        <v>159</v>
      </c>
      <c r="B240" s="5" t="s">
        <v>160</v>
      </c>
      <c r="C240" s="5" t="s">
        <v>29</v>
      </c>
      <c r="D240" s="24" t="s">
        <v>25</v>
      </c>
      <c r="E240" s="5" t="s">
        <v>161</v>
      </c>
      <c r="F240" s="5">
        <v>1</v>
      </c>
      <c r="G240" s="5" t="str">
        <f t="shared" si="5"/>
        <v>RUAC1</v>
      </c>
      <c r="H240" s="6">
        <v>1.8016579519968963</v>
      </c>
      <c r="I240" s="6">
        <v>-1.0032253545024212</v>
      </c>
      <c r="J240" s="6">
        <v>-1.5433901165166355</v>
      </c>
      <c r="K240" s="6">
        <v>83.599034355398885</v>
      </c>
      <c r="L240" s="6">
        <v>94.259893458295466</v>
      </c>
      <c r="M240" s="6">
        <v>65.001411099266164</v>
      </c>
      <c r="N240" s="6">
        <v>16.31525084191745</v>
      </c>
      <c r="O240" s="6">
        <v>2.6758586854133903</v>
      </c>
      <c r="P240" s="6">
        <v>3.876334031376117E-2</v>
      </c>
      <c r="Q240" s="6">
        <v>4.3494219134092314E-2</v>
      </c>
      <c r="R240" s="6">
        <v>0.23634791483464335</v>
      </c>
      <c r="S240" s="6">
        <v>0.26519303848678932</v>
      </c>
    </row>
    <row r="241" spans="1:19" ht="16" x14ac:dyDescent="0.2">
      <c r="A241" s="23" t="s">
        <v>159</v>
      </c>
      <c r="B241" s="5" t="s">
        <v>160</v>
      </c>
      <c r="C241" s="5" t="s">
        <v>29</v>
      </c>
      <c r="D241" s="24" t="s">
        <v>25</v>
      </c>
      <c r="E241" s="5" t="s">
        <v>161</v>
      </c>
      <c r="F241" s="5">
        <v>2</v>
      </c>
      <c r="G241" s="5" t="str">
        <f t="shared" si="5"/>
        <v>RUAC2</v>
      </c>
      <c r="H241" s="6">
        <v>1.2866635881474915</v>
      </c>
      <c r="I241" s="6">
        <v>-1.1770456028337359</v>
      </c>
      <c r="J241" s="6">
        <v>-1.5686839559292864</v>
      </c>
      <c r="K241" s="6">
        <v>60.956501700206736</v>
      </c>
      <c r="L241" s="6">
        <v>90.252382377327478</v>
      </c>
      <c r="M241" s="6">
        <v>75.033954314682575</v>
      </c>
      <c r="N241" s="6">
        <v>11.507249997745605</v>
      </c>
      <c r="O241" s="6">
        <v>4.4928329572227668</v>
      </c>
      <c r="P241" s="6">
        <v>6.4044393312127523E-2</v>
      </c>
      <c r="Q241" s="6">
        <v>0.12337030542510947</v>
      </c>
      <c r="R241" s="6">
        <v>0.16403343988380933</v>
      </c>
      <c r="S241" s="6">
        <v>0.31598168913507119</v>
      </c>
    </row>
    <row r="242" spans="1:19" ht="16" x14ac:dyDescent="0.2">
      <c r="A242" s="23" t="s">
        <v>159</v>
      </c>
      <c r="B242" s="5" t="s">
        <v>160</v>
      </c>
      <c r="C242" s="5" t="s">
        <v>29</v>
      </c>
      <c r="D242" s="24" t="s">
        <v>25</v>
      </c>
      <c r="E242" s="5" t="s">
        <v>161</v>
      </c>
      <c r="F242" s="5">
        <v>3</v>
      </c>
      <c r="G242" s="5" t="str">
        <f t="shared" si="5"/>
        <v>RUAC3</v>
      </c>
      <c r="H242" s="6">
        <v>1.4145046532772301</v>
      </c>
      <c r="I242" s="6">
        <v>-1.4957858103043535</v>
      </c>
      <c r="J242" s="6">
        <v>-1.9412563587510379</v>
      </c>
      <c r="K242" s="6">
        <v>51.526407231884576</v>
      </c>
      <c r="L242" s="6">
        <v>88.876503683683268</v>
      </c>
      <c r="M242" s="6">
        <v>77.052461595886797</v>
      </c>
      <c r="N242" s="6">
        <v>14.364625755902908</v>
      </c>
      <c r="O242" s="6">
        <v>6.9630501915801979</v>
      </c>
      <c r="P242" s="6">
        <v>5.4260311834607632E-2</v>
      </c>
      <c r="Q242" s="6">
        <v>0.16177999916796809</v>
      </c>
      <c r="R242" s="6">
        <v>0.1119378794432967</v>
      </c>
      <c r="S242" s="6">
        <v>0.33374872776994247</v>
      </c>
    </row>
    <row r="243" spans="1:19" ht="16" x14ac:dyDescent="0.2">
      <c r="A243" s="23" t="s">
        <v>159</v>
      </c>
      <c r="B243" s="5" t="s">
        <v>160</v>
      </c>
      <c r="C243" s="5" t="s">
        <v>29</v>
      </c>
      <c r="D243" s="24" t="s">
        <v>25</v>
      </c>
      <c r="E243" s="5" t="s">
        <v>161</v>
      </c>
      <c r="F243" s="5">
        <v>4</v>
      </c>
      <c r="G243" s="5" t="str">
        <f t="shared" si="5"/>
        <v>RUAC4</v>
      </c>
      <c r="H243" s="6">
        <v>2.0199017775321004</v>
      </c>
      <c r="I243" s="6">
        <v>-1.7538903008723785</v>
      </c>
      <c r="J243" s="6">
        <v>-2.2089258642706864</v>
      </c>
      <c r="K243" s="6">
        <v>67.406636308306943</v>
      </c>
      <c r="L243" s="6">
        <v>93.285813774745108</v>
      </c>
      <c r="M243" s="6">
        <v>79.400143266078089</v>
      </c>
      <c r="N243" s="6">
        <v>25.757049240089597</v>
      </c>
      <c r="O243" s="6">
        <v>8.3950887350708641</v>
      </c>
      <c r="P243" s="6">
        <v>3.0661574648804858E-2</v>
      </c>
      <c r="Q243" s="6">
        <v>9.2148718720608272E-2</v>
      </c>
      <c r="R243" s="6">
        <v>9.4073060205870848E-2</v>
      </c>
      <c r="S243" s="6">
        <v>0.28272233449809242</v>
      </c>
    </row>
    <row r="244" spans="1:19" ht="16" x14ac:dyDescent="0.2">
      <c r="A244" s="23" t="s">
        <v>159</v>
      </c>
      <c r="B244" s="5" t="s">
        <v>160</v>
      </c>
      <c r="C244" s="5" t="s">
        <v>29</v>
      </c>
      <c r="D244" s="24" t="s">
        <v>25</v>
      </c>
      <c r="E244" s="5" t="s">
        <v>161</v>
      </c>
      <c r="F244" s="5">
        <v>5</v>
      </c>
      <c r="G244" s="5" t="str">
        <f t="shared" si="5"/>
        <v>RUAC5</v>
      </c>
      <c r="H244" s="6">
        <v>1.4339796590278369</v>
      </c>
      <c r="I244" s="6">
        <v>-1.3121314238592483</v>
      </c>
      <c r="J244" s="6">
        <v>-1.9299946428522263</v>
      </c>
      <c r="K244" s="6">
        <v>59.574732236964024</v>
      </c>
      <c r="L244" s="6">
        <v>87.058365078252237</v>
      </c>
      <c r="M244" s="6">
        <v>67.986272848930071</v>
      </c>
      <c r="N244" s="6">
        <v>9.9457931300687541</v>
      </c>
      <c r="O244" s="6">
        <v>4.0206135039879047</v>
      </c>
      <c r="P244" s="6">
        <v>6.8440984800140894E-2</v>
      </c>
      <c r="Q244" s="6">
        <v>0.10515916021930201</v>
      </c>
      <c r="R244" s="6">
        <v>0.16930248972332684</v>
      </c>
      <c r="S244" s="6">
        <v>0.26013225400440704</v>
      </c>
    </row>
    <row r="245" spans="1:19" ht="16" x14ac:dyDescent="0.2">
      <c r="A245" s="23" t="s">
        <v>159</v>
      </c>
      <c r="B245" s="5" t="s">
        <v>160</v>
      </c>
      <c r="C245" s="5" t="s">
        <v>29</v>
      </c>
      <c r="D245" s="24" t="s">
        <v>25</v>
      </c>
      <c r="E245" s="5" t="s">
        <v>161</v>
      </c>
      <c r="F245" s="5">
        <v>6</v>
      </c>
      <c r="G245" s="5" t="str">
        <f t="shared" si="5"/>
        <v>RUAC6</v>
      </c>
      <c r="H245" s="6">
        <v>1.4044135129359954</v>
      </c>
      <c r="I245" s="6">
        <v>-1.3926064698318632</v>
      </c>
      <c r="J245" s="6">
        <v>-1.8535311141316195</v>
      </c>
      <c r="K245" s="6">
        <v>61.850695913399925</v>
      </c>
      <c r="L245" s="6">
        <v>90.513267199921017</v>
      </c>
      <c r="M245" s="6">
        <v>75.132618989474039</v>
      </c>
      <c r="N245" s="6">
        <v>14.862311885967488</v>
      </c>
      <c r="O245" s="6">
        <v>5.6698685556766426</v>
      </c>
      <c r="P245" s="6">
        <v>5.0892685815737644E-2</v>
      </c>
      <c r="Q245" s="6">
        <v>0.11185252548179569</v>
      </c>
      <c r="R245" s="6">
        <v>0.1334039690480584</v>
      </c>
      <c r="S245" s="6">
        <v>0.29319676507830161</v>
      </c>
    </row>
    <row r="246" spans="1:19" ht="16" x14ac:dyDescent="0.2">
      <c r="A246" s="4" t="s">
        <v>162</v>
      </c>
      <c r="B246" s="5" t="s">
        <v>126</v>
      </c>
      <c r="C246" s="5" t="s">
        <v>29</v>
      </c>
      <c r="D246" s="4" t="s">
        <v>41</v>
      </c>
      <c r="E246" s="5" t="s">
        <v>163</v>
      </c>
      <c r="F246" s="5">
        <v>1</v>
      </c>
      <c r="G246" s="5" t="str">
        <f t="shared" si="5"/>
        <v>SAAP1</v>
      </c>
      <c r="H246" s="6">
        <v>5.8787299600234268</v>
      </c>
      <c r="I246" s="6">
        <v>-0.86835247348567068</v>
      </c>
      <c r="J246" s="6">
        <v>-1.059571132696514</v>
      </c>
      <c r="K246" s="6">
        <v>-5.1749431751104851</v>
      </c>
      <c r="L246" s="6">
        <v>81.019290733846702</v>
      </c>
      <c r="M246" s="6">
        <v>81.953202261729331</v>
      </c>
      <c r="N246" s="6">
        <v>5.576723773393371</v>
      </c>
      <c r="O246" s="6">
        <v>5.8653160596993557</v>
      </c>
      <c r="P246" s="6">
        <v>0.15333546323806535</v>
      </c>
      <c r="Q246" s="6">
        <v>0.64807749123523217</v>
      </c>
      <c r="R246" s="6">
        <v>0.1457908686318663</v>
      </c>
      <c r="S246" s="6">
        <v>0.61619000844737215</v>
      </c>
    </row>
    <row r="247" spans="1:19" ht="16" x14ac:dyDescent="0.2">
      <c r="A247" s="4" t="s">
        <v>162</v>
      </c>
      <c r="B247" s="5" t="s">
        <v>126</v>
      </c>
      <c r="C247" s="5" t="s">
        <v>29</v>
      </c>
      <c r="D247" s="4" t="s">
        <v>41</v>
      </c>
      <c r="E247" s="5" t="s">
        <v>163</v>
      </c>
      <c r="F247" s="5">
        <v>2</v>
      </c>
      <c r="G247" s="5" t="str">
        <f t="shared" si="5"/>
        <v>SAAP2</v>
      </c>
      <c r="H247" s="6">
        <v>5.2214194273399173</v>
      </c>
      <c r="I247" s="6">
        <v>-0.92364857519047938</v>
      </c>
      <c r="J247" s="6">
        <v>-1.1347049078167666</v>
      </c>
      <c r="K247" s="6">
        <v>8.9076829338302872</v>
      </c>
      <c r="L247" s="6">
        <v>83.05673110429403</v>
      </c>
      <c r="M247" s="6">
        <v>81.399892503120398</v>
      </c>
      <c r="N247" s="6">
        <v>6.5042151682300311</v>
      </c>
      <c r="O247" s="6">
        <v>5.9248403037100061</v>
      </c>
      <c r="P247" s="6">
        <v>0.12995879193187659</v>
      </c>
      <c r="Q247" s="6">
        <v>0.50247305991060953</v>
      </c>
      <c r="R247" s="6">
        <v>0.14266712728085962</v>
      </c>
      <c r="S247" s="6">
        <v>0.55160860552664581</v>
      </c>
    </row>
    <row r="248" spans="1:19" ht="16" x14ac:dyDescent="0.2">
      <c r="A248" s="4" t="s">
        <v>162</v>
      </c>
      <c r="B248" s="5" t="s">
        <v>126</v>
      </c>
      <c r="C248" s="5" t="s">
        <v>29</v>
      </c>
      <c r="D248" s="4" t="s">
        <v>41</v>
      </c>
      <c r="E248" s="5" t="s">
        <v>163</v>
      </c>
      <c r="F248" s="5">
        <v>3</v>
      </c>
      <c r="G248" s="5" t="str">
        <f t="shared" si="5"/>
        <v>SAAP3</v>
      </c>
      <c r="H248" s="6">
        <v>5.6892699982190571</v>
      </c>
      <c r="I248" s="6">
        <v>-0.9423268156311837</v>
      </c>
      <c r="J248" s="6">
        <v>-1.1629282232513687</v>
      </c>
      <c r="K248" s="6">
        <v>-2.5799161336028789</v>
      </c>
      <c r="L248" s="6">
        <v>80.541125892219441</v>
      </c>
      <c r="M248" s="6">
        <v>81.030522502634142</v>
      </c>
      <c r="N248" s="6">
        <v>5.7787504593426435</v>
      </c>
      <c r="O248" s="6">
        <v>5.9278373747638797</v>
      </c>
      <c r="P248" s="6">
        <v>0.14688091973349376</v>
      </c>
      <c r="Q248" s="6">
        <v>0.52350166650833418</v>
      </c>
      <c r="R248" s="6">
        <v>0.14318681986656329</v>
      </c>
      <c r="S248" s="6">
        <v>0.51033544015235255</v>
      </c>
    </row>
    <row r="249" spans="1:19" ht="16" x14ac:dyDescent="0.2">
      <c r="A249" s="4" t="s">
        <v>162</v>
      </c>
      <c r="B249" s="5" t="s">
        <v>126</v>
      </c>
      <c r="C249" s="5" t="s">
        <v>29</v>
      </c>
      <c r="D249" s="4" t="s">
        <v>41</v>
      </c>
      <c r="E249" s="5" t="s">
        <v>163</v>
      </c>
      <c r="F249" s="5">
        <v>4</v>
      </c>
      <c r="G249" s="5" t="str">
        <f t="shared" si="5"/>
        <v>SAAP4</v>
      </c>
      <c r="H249" s="6">
        <v>6.0769340264459881</v>
      </c>
      <c r="I249" s="6">
        <v>-0.75370904706800679</v>
      </c>
      <c r="J249" s="6">
        <v>-0.9362569493534596</v>
      </c>
      <c r="K249" s="6">
        <v>10.409260337723069</v>
      </c>
      <c r="L249" s="6">
        <v>82.531930362872515</v>
      </c>
      <c r="M249" s="6">
        <v>80.502371447121135</v>
      </c>
      <c r="N249" s="6">
        <v>5.4466898187875472</v>
      </c>
      <c r="O249" s="6">
        <v>4.8797296957616938</v>
      </c>
      <c r="P249" s="6">
        <v>0.15546611194700316</v>
      </c>
      <c r="Q249" s="6">
        <v>0.55088467245244654</v>
      </c>
      <c r="R249" s="6">
        <v>0.17352922024424774</v>
      </c>
      <c r="S249" s="6">
        <v>0.61489019348324581</v>
      </c>
    </row>
    <row r="250" spans="1:19" ht="16" x14ac:dyDescent="0.2">
      <c r="A250" s="4" t="s">
        <v>162</v>
      </c>
      <c r="B250" s="5" t="s">
        <v>126</v>
      </c>
      <c r="C250" s="5" t="s">
        <v>29</v>
      </c>
      <c r="D250" s="4" t="s">
        <v>41</v>
      </c>
      <c r="E250" s="5" t="s">
        <v>163</v>
      </c>
      <c r="F250" s="5">
        <v>5</v>
      </c>
      <c r="G250" s="5" t="str">
        <f t="shared" si="5"/>
        <v>SAAP5</v>
      </c>
      <c r="H250" s="6">
        <v>4.74524280493549</v>
      </c>
      <c r="I250" s="6">
        <v>-0.88136020321396125</v>
      </c>
      <c r="J250" s="6">
        <v>-1.0642044044871237</v>
      </c>
      <c r="K250" s="6">
        <v>16.566820810220165</v>
      </c>
      <c r="L250" s="6">
        <v>85.665091269766009</v>
      </c>
      <c r="M250" s="6">
        <v>82.818695308700455</v>
      </c>
      <c r="N250" s="6">
        <v>7.1858840213543278</v>
      </c>
      <c r="O250" s="6">
        <v>5.9954114919063102</v>
      </c>
      <c r="P250" s="6">
        <v>0.1188601629039905</v>
      </c>
      <c r="Q250" s="6">
        <v>0.49452405906426966</v>
      </c>
      <c r="R250" s="6">
        <v>7.4992711047461762E-3</v>
      </c>
      <c r="S250" s="6">
        <v>0.59271870479657618</v>
      </c>
    </row>
    <row r="251" spans="1:19" ht="16" x14ac:dyDescent="0.2">
      <c r="A251" s="4" t="s">
        <v>162</v>
      </c>
      <c r="B251" s="5" t="s">
        <v>126</v>
      </c>
      <c r="C251" s="5" t="s">
        <v>29</v>
      </c>
      <c r="D251" s="4" t="s">
        <v>41</v>
      </c>
      <c r="E251" s="5" t="s">
        <v>163</v>
      </c>
      <c r="F251" s="5">
        <v>6</v>
      </c>
      <c r="G251" s="5" t="str">
        <f t="shared" si="5"/>
        <v>SAAP6</v>
      </c>
      <c r="H251" s="6">
        <v>4.809345910120796</v>
      </c>
      <c r="I251" s="6">
        <v>-0.9867307139450765</v>
      </c>
      <c r="J251" s="6">
        <v>-1.1579814593078195</v>
      </c>
      <c r="K251" s="6">
        <v>18.499504328526157</v>
      </c>
      <c r="L251" s="6">
        <v>87.9471121761175</v>
      </c>
      <c r="M251" s="6">
        <v>85.211270527154412</v>
      </c>
      <c r="N251" s="6">
        <v>9.0176533300236699</v>
      </c>
      <c r="O251" s="6">
        <v>7.349432161904458</v>
      </c>
      <c r="P251" s="6">
        <v>9.601264297939098E-2</v>
      </c>
      <c r="Q251" s="6">
        <v>0.41279656607052934</v>
      </c>
      <c r="R251" s="6">
        <v>0.11780620742040049</v>
      </c>
      <c r="S251" s="6">
        <v>0.50649577363860243</v>
      </c>
    </row>
    <row r="252" spans="1:19" ht="16" x14ac:dyDescent="0.2">
      <c r="A252" s="4" t="s">
        <v>164</v>
      </c>
      <c r="B252" s="5" t="s">
        <v>126</v>
      </c>
      <c r="C252" s="5" t="s">
        <v>29</v>
      </c>
      <c r="D252" s="4" t="s">
        <v>41</v>
      </c>
      <c r="E252" s="5" t="s">
        <v>165</v>
      </c>
      <c r="F252" s="5">
        <v>1</v>
      </c>
      <c r="G252" s="5" t="str">
        <f t="shared" si="5"/>
        <v>SACA1</v>
      </c>
      <c r="H252" s="6">
        <v>4.8819165068344628</v>
      </c>
      <c r="I252" s="6">
        <v>-1.0305423338382009</v>
      </c>
      <c r="J252" s="6">
        <v>-1.3960373132385555</v>
      </c>
      <c r="K252" s="6">
        <v>20.81512524655102</v>
      </c>
      <c r="L252" s="6">
        <v>79.268695834718045</v>
      </c>
      <c r="M252" s="6">
        <v>73.819110998367805</v>
      </c>
      <c r="N252" s="6">
        <v>5.2095373815877295</v>
      </c>
      <c r="O252" s="6">
        <v>4.1251656508443499</v>
      </c>
      <c r="P252" s="6">
        <v>0.14096676823287771</v>
      </c>
      <c r="Q252" s="6">
        <v>0.3222907167854614</v>
      </c>
      <c r="R252" s="6">
        <v>0.17802234160474911</v>
      </c>
      <c r="S252" s="6">
        <v>0.40701045217151488</v>
      </c>
    </row>
    <row r="253" spans="1:19" ht="16" x14ac:dyDescent="0.2">
      <c r="A253" s="4" t="s">
        <v>164</v>
      </c>
      <c r="B253" s="5" t="s">
        <v>126</v>
      </c>
      <c r="C253" s="5" t="s">
        <v>29</v>
      </c>
      <c r="D253" s="4" t="s">
        <v>41</v>
      </c>
      <c r="E253" s="5" t="s">
        <v>165</v>
      </c>
      <c r="F253" s="5">
        <v>2</v>
      </c>
      <c r="G253" s="5" t="str">
        <f t="shared" si="5"/>
        <v>SACA2</v>
      </c>
      <c r="H253" s="6">
        <v>5.1157298158211919</v>
      </c>
      <c r="I253" s="6">
        <v>-1.0334714636172806</v>
      </c>
      <c r="J253" s="6">
        <v>-1.3002810656412427</v>
      </c>
      <c r="K253" s="6">
        <v>23.087058958199677</v>
      </c>
      <c r="L253" s="6">
        <v>84.217942003381339</v>
      </c>
      <c r="M253" s="6">
        <v>79.480620838512081</v>
      </c>
      <c r="N253" s="6">
        <v>6.2662508138686404</v>
      </c>
      <c r="O253" s="6">
        <v>4.8195577940021188</v>
      </c>
      <c r="P253" s="6">
        <v>0.12465511130966248</v>
      </c>
      <c r="Q253" s="6">
        <v>0.29830803919901511</v>
      </c>
      <c r="R253" s="6">
        <v>0.16207300048754536</v>
      </c>
      <c r="S253" s="6">
        <v>0.38785155678403405</v>
      </c>
    </row>
    <row r="254" spans="1:19" ht="16" x14ac:dyDescent="0.2">
      <c r="A254" s="4" t="s">
        <v>164</v>
      </c>
      <c r="B254" s="5" t="s">
        <v>126</v>
      </c>
      <c r="C254" s="5" t="s">
        <v>29</v>
      </c>
      <c r="D254" s="4" t="s">
        <v>41</v>
      </c>
      <c r="E254" s="5" t="s">
        <v>165</v>
      </c>
      <c r="F254" s="5">
        <v>3</v>
      </c>
      <c r="G254" s="5" t="str">
        <f t="shared" si="5"/>
        <v>SACA3</v>
      </c>
      <c r="H254" s="6">
        <v>5.3564833253043016</v>
      </c>
      <c r="I254" s="6">
        <v>-0.90813152992982871</v>
      </c>
      <c r="J254" s="6">
        <v>-1.1329114260437221</v>
      </c>
      <c r="K254" s="6">
        <v>20.261824362030296</v>
      </c>
      <c r="L254" s="6">
        <v>84.179223172983953</v>
      </c>
      <c r="M254" s="6">
        <v>80.159093557838432</v>
      </c>
      <c r="N254" s="6">
        <v>5.7736705355302309</v>
      </c>
      <c r="O254" s="6">
        <v>4.6038195523788055</v>
      </c>
      <c r="P254" s="6">
        <v>0.13700914307631215</v>
      </c>
      <c r="Q254" s="6">
        <v>0.38115990736727456</v>
      </c>
      <c r="R254" s="6">
        <v>0.17182377447204983</v>
      </c>
      <c r="S254" s="6">
        <v>0.4780143316769962</v>
      </c>
    </row>
    <row r="255" spans="1:19" ht="16" x14ac:dyDescent="0.2">
      <c r="A255" s="4" t="s">
        <v>164</v>
      </c>
      <c r="B255" s="5" t="s">
        <v>126</v>
      </c>
      <c r="C255" s="5" t="s">
        <v>29</v>
      </c>
      <c r="D255" s="4" t="s">
        <v>41</v>
      </c>
      <c r="E255" s="5" t="s">
        <v>165</v>
      </c>
      <c r="F255" s="5">
        <v>4</v>
      </c>
      <c r="G255" s="5" t="str">
        <f t="shared" si="5"/>
        <v>SACA4</v>
      </c>
      <c r="H255" s="6">
        <v>5.0374358044265408</v>
      </c>
      <c r="I255" s="6">
        <v>-0.76862601219124271</v>
      </c>
      <c r="J255" s="6">
        <v>-0.97781101286138927</v>
      </c>
      <c r="K255" s="6">
        <v>29.161635618944871</v>
      </c>
      <c r="L255" s="6">
        <v>84.845411735382356</v>
      </c>
      <c r="M255" s="6">
        <v>78.606806640681626</v>
      </c>
      <c r="N255" s="6">
        <v>5.183499924486461</v>
      </c>
      <c r="O255" s="6">
        <v>3.6719065641994382</v>
      </c>
      <c r="P255" s="6">
        <v>0.15136521045956347</v>
      </c>
      <c r="Q255" s="6">
        <v>0.36774941631451946</v>
      </c>
      <c r="R255" s="6">
        <v>0.21367688509200564</v>
      </c>
      <c r="S255" s="6">
        <v>0.51913877392244001</v>
      </c>
    </row>
    <row r="256" spans="1:19" ht="16" x14ac:dyDescent="0.2">
      <c r="A256" s="4" t="s">
        <v>164</v>
      </c>
      <c r="B256" s="5" t="s">
        <v>126</v>
      </c>
      <c r="C256" s="5" t="s">
        <v>29</v>
      </c>
      <c r="D256" s="4" t="s">
        <v>41</v>
      </c>
      <c r="E256" s="5" t="s">
        <v>165</v>
      </c>
      <c r="F256" s="5">
        <v>5</v>
      </c>
      <c r="G256" s="5" t="str">
        <f t="shared" si="5"/>
        <v>SACA5</v>
      </c>
      <c r="H256" s="6">
        <v>5.5250976674762491</v>
      </c>
      <c r="I256" s="6">
        <v>-0.93990440707955236</v>
      </c>
      <c r="J256" s="6">
        <v>-1.1968417884165627</v>
      </c>
      <c r="K256" s="6">
        <v>15.324538854008978</v>
      </c>
      <c r="L256" s="6">
        <v>81.821915426985086</v>
      </c>
      <c r="M256" s="6">
        <v>78.532051284995489</v>
      </c>
      <c r="N256" s="6">
        <v>5.0107654635833674</v>
      </c>
      <c r="O256" s="6">
        <v>4.2428887632332701</v>
      </c>
      <c r="P256" s="6">
        <v>0.15372140897149178</v>
      </c>
      <c r="Q256" s="6">
        <v>0.38294196999733215</v>
      </c>
      <c r="R256" s="6">
        <v>0.18154186217711527</v>
      </c>
      <c r="S256" s="6">
        <v>0.45224668967210402</v>
      </c>
    </row>
    <row r="257" spans="1:19" ht="16" x14ac:dyDescent="0.2">
      <c r="A257" s="4" t="s">
        <v>164</v>
      </c>
      <c r="B257" s="5" t="s">
        <v>126</v>
      </c>
      <c r="C257" s="5" t="s">
        <v>29</v>
      </c>
      <c r="D257" s="4" t="s">
        <v>41</v>
      </c>
      <c r="E257" s="5" t="s">
        <v>165</v>
      </c>
      <c r="F257" s="5">
        <v>6</v>
      </c>
      <c r="G257" s="5" t="str">
        <f t="shared" si="5"/>
        <v>SACA6</v>
      </c>
      <c r="H257" s="6">
        <v>5.4881170228591003</v>
      </c>
      <c r="I257" s="6">
        <v>-0.86245352987314072</v>
      </c>
      <c r="J257" s="6">
        <v>-1.0893636056478027</v>
      </c>
      <c r="K257" s="6">
        <v>23.187712423679997</v>
      </c>
      <c r="L257" s="6">
        <v>84.000308157896228</v>
      </c>
      <c r="M257" s="6">
        <v>79.170400534931844</v>
      </c>
      <c r="N257" s="6">
        <v>5.4873554622362377</v>
      </c>
      <c r="O257" s="6">
        <v>4.2149632579878036</v>
      </c>
      <c r="P257" s="6">
        <v>0.14389138217238429</v>
      </c>
      <c r="Q257" s="6">
        <v>0.18732859899454898</v>
      </c>
      <c r="R257" s="6">
        <v>0.32822821734310875</v>
      </c>
      <c r="S257" s="6">
        <v>0.42731212374971167</v>
      </c>
    </row>
    <row r="258" spans="1:19" ht="16" x14ac:dyDescent="0.2">
      <c r="A258" s="4" t="s">
        <v>166</v>
      </c>
      <c r="B258" s="5" t="s">
        <v>126</v>
      </c>
      <c r="C258" s="5" t="s">
        <v>29</v>
      </c>
      <c r="D258" s="4" t="s">
        <v>41</v>
      </c>
      <c r="E258" s="5" t="s">
        <v>167</v>
      </c>
      <c r="F258" s="5">
        <v>1</v>
      </c>
      <c r="G258" s="5" t="str">
        <f t="shared" si="5"/>
        <v>SALE1</v>
      </c>
      <c r="H258" s="6">
        <v>3.3425355461713746</v>
      </c>
      <c r="I258" s="6">
        <v>-0.84398230694720555</v>
      </c>
      <c r="J258" s="6">
        <v>-1.1686159222959744</v>
      </c>
      <c r="K258" s="6">
        <v>-35.495623000123032</v>
      </c>
      <c r="L258" s="6">
        <v>62.36023049211601</v>
      </c>
      <c r="M258" s="6">
        <v>72.220674974977001</v>
      </c>
      <c r="N258" s="6">
        <v>1.8713111769547195</v>
      </c>
      <c r="O258" s="6">
        <v>2.5355447374857114</v>
      </c>
      <c r="P258" s="6">
        <v>0.3653967725315786</v>
      </c>
      <c r="Q258" s="6">
        <v>0.4135978567451265</v>
      </c>
      <c r="R258" s="6">
        <v>0.26967422595728407</v>
      </c>
      <c r="S258" s="6">
        <v>0.30524813096342679</v>
      </c>
    </row>
    <row r="259" spans="1:19" ht="16" x14ac:dyDescent="0.2">
      <c r="A259" s="4" t="s">
        <v>166</v>
      </c>
      <c r="B259" s="5" t="s">
        <v>126</v>
      </c>
      <c r="C259" s="5" t="s">
        <v>29</v>
      </c>
      <c r="D259" s="4" t="s">
        <v>41</v>
      </c>
      <c r="E259" s="5" t="s">
        <v>167</v>
      </c>
      <c r="F259" s="5">
        <v>2</v>
      </c>
      <c r="G259" s="5" t="str">
        <f t="shared" si="5"/>
        <v>SALE2</v>
      </c>
      <c r="H259" s="6">
        <v>4.0454150447521187</v>
      </c>
      <c r="I259" s="6">
        <v>-0.60264903117120061</v>
      </c>
      <c r="J259" s="6">
        <v>-1.2010602445202876</v>
      </c>
      <c r="K259" s="6">
        <v>4.8928594936263607</v>
      </c>
      <c r="L259" s="6">
        <v>52.614217639588347</v>
      </c>
      <c r="M259" s="6">
        <v>50.176419869088505</v>
      </c>
      <c r="N259" s="6">
        <v>1.0510164892192724</v>
      </c>
      <c r="O259" s="6">
        <v>0.99959172914692351</v>
      </c>
      <c r="P259" s="6">
        <v>0.41849171309515643</v>
      </c>
      <c r="Q259" s="6">
        <v>0.22866413833270369</v>
      </c>
      <c r="R259" s="6">
        <v>0.44002133895205614</v>
      </c>
      <c r="S259" s="6">
        <v>0.24042793960079001</v>
      </c>
    </row>
    <row r="260" spans="1:19" ht="16" x14ac:dyDescent="0.2">
      <c r="A260" s="4" t="s">
        <v>166</v>
      </c>
      <c r="B260" s="5" t="s">
        <v>126</v>
      </c>
      <c r="C260" s="5" t="s">
        <v>29</v>
      </c>
      <c r="D260" s="4" t="s">
        <v>41</v>
      </c>
      <c r="E260" s="5" t="s">
        <v>167</v>
      </c>
      <c r="F260" s="5">
        <v>3</v>
      </c>
      <c r="G260" s="5" t="str">
        <f t="shared" ref="G260:G295" si="6">_xlfn.CONCAT(E260,F260)</f>
        <v>SALE3</v>
      </c>
      <c r="H260" s="6">
        <v>3.8056358242496846</v>
      </c>
      <c r="I260" s="6">
        <v>-0.94512793788284744</v>
      </c>
      <c r="J260" s="6">
        <v>-1.2338855402992861</v>
      </c>
      <c r="K260" s="6">
        <v>-11.566967285647465</v>
      </c>
      <c r="L260" s="6">
        <v>73.890763016428025</v>
      </c>
      <c r="M260" s="6">
        <v>76.597699463566244</v>
      </c>
      <c r="N260" s="6">
        <v>4.2243277299189952</v>
      </c>
      <c r="O260" s="6">
        <v>4.712954336477261</v>
      </c>
      <c r="P260" s="6">
        <v>0.18921787031585041</v>
      </c>
      <c r="Q260" s="6">
        <v>0.2938127353237045</v>
      </c>
      <c r="R260" s="6">
        <v>0.16960026333905046</v>
      </c>
      <c r="S260" s="6">
        <v>0.26335101013496998</v>
      </c>
    </row>
    <row r="261" spans="1:19" ht="16" x14ac:dyDescent="0.2">
      <c r="A261" s="4" t="s">
        <v>166</v>
      </c>
      <c r="B261" s="5" t="s">
        <v>126</v>
      </c>
      <c r="C261" s="5" t="s">
        <v>29</v>
      </c>
      <c r="D261" s="4" t="s">
        <v>41</v>
      </c>
      <c r="E261" s="5" t="s">
        <v>167</v>
      </c>
      <c r="F261" s="5">
        <v>4</v>
      </c>
      <c r="G261" s="5" t="str">
        <f t="shared" si="6"/>
        <v>SALE4</v>
      </c>
      <c r="H261" s="6">
        <v>4.0457840173604431</v>
      </c>
      <c r="I261" s="6">
        <v>-0.73967895498897951</v>
      </c>
      <c r="J261" s="6">
        <v>-1.1599247485825919</v>
      </c>
      <c r="K261" s="6">
        <v>-11.412592732148596</v>
      </c>
      <c r="L261" s="6">
        <v>59.634731902860274</v>
      </c>
      <c r="M261" s="6">
        <v>63.769564007738822</v>
      </c>
      <c r="N261" s="6">
        <v>1.8805155617591964</v>
      </c>
      <c r="O261" s="6">
        <v>2.0951311440874534</v>
      </c>
      <c r="P261" s="6">
        <v>0.3431671896561862</v>
      </c>
      <c r="Q261" s="6">
        <v>0.29456902301419735</v>
      </c>
      <c r="R261" s="6">
        <v>0.30801472368676258</v>
      </c>
      <c r="S261" s="6">
        <v>0.26439472934839836</v>
      </c>
    </row>
    <row r="262" spans="1:19" ht="16" x14ac:dyDescent="0.2">
      <c r="A262" s="4" t="s">
        <v>166</v>
      </c>
      <c r="B262" s="5" t="s">
        <v>126</v>
      </c>
      <c r="C262" s="5" t="s">
        <v>29</v>
      </c>
      <c r="D262" s="4" t="s">
        <v>41</v>
      </c>
      <c r="E262" s="5" t="s">
        <v>167</v>
      </c>
      <c r="F262" s="5">
        <v>5</v>
      </c>
      <c r="G262" s="5" t="str">
        <f t="shared" si="6"/>
        <v>SALE5</v>
      </c>
      <c r="H262" s="6">
        <v>3.7852587331487917</v>
      </c>
      <c r="I262" s="6">
        <v>-0.87125259833693136</v>
      </c>
      <c r="J262" s="6">
        <v>-1.2592844614545733</v>
      </c>
      <c r="K262" s="6">
        <v>6.1441793626050156</v>
      </c>
      <c r="L262" s="6">
        <v>71.079569341865209</v>
      </c>
      <c r="M262" s="6">
        <v>69.186321677515622</v>
      </c>
      <c r="N262" s="6">
        <v>2.8678885435450114</v>
      </c>
      <c r="O262" s="6">
        <v>2.6916803275100283</v>
      </c>
      <c r="P262" s="6">
        <v>0.25307676477437774</v>
      </c>
      <c r="Q262" s="6">
        <v>0.26073838263257693</v>
      </c>
      <c r="R262" s="6">
        <v>0.2696441872818085</v>
      </c>
      <c r="S262" s="6">
        <v>0.2778073654482443</v>
      </c>
    </row>
    <row r="263" spans="1:19" ht="16" x14ac:dyDescent="0.2">
      <c r="A263" s="4" t="s">
        <v>166</v>
      </c>
      <c r="B263" s="5" t="s">
        <v>126</v>
      </c>
      <c r="C263" s="5" t="s">
        <v>29</v>
      </c>
      <c r="D263" s="4" t="s">
        <v>41</v>
      </c>
      <c r="E263" s="5" t="s">
        <v>167</v>
      </c>
      <c r="F263" s="5">
        <v>6</v>
      </c>
      <c r="G263" s="5" t="str">
        <f t="shared" si="6"/>
        <v>SALE6</v>
      </c>
      <c r="H263" s="6">
        <v>3.5022963640942675</v>
      </c>
      <c r="I263" s="6">
        <v>-0.79528992328252734</v>
      </c>
      <c r="J263" s="6">
        <v>-1.2051367621830784</v>
      </c>
      <c r="K263" s="6">
        <v>2.5439567598247521</v>
      </c>
      <c r="L263" s="6">
        <v>66.85683110239944</v>
      </c>
      <c r="M263" s="6">
        <v>65.991673994068307</v>
      </c>
      <c r="N263" s="6">
        <v>1.9609324539549675</v>
      </c>
      <c r="O263" s="6">
        <v>1.9110471802369853</v>
      </c>
      <c r="P263" s="6">
        <v>0.32149405987436869</v>
      </c>
      <c r="Q263" s="6">
        <v>0.29932807548542639</v>
      </c>
      <c r="R263" s="6">
        <v>0.32988622273742757</v>
      </c>
      <c r="S263" s="6">
        <v>0.3071416256329515</v>
      </c>
    </row>
    <row r="264" spans="1:19" ht="16" x14ac:dyDescent="0.2">
      <c r="A264" s="4" t="s">
        <v>168</v>
      </c>
      <c r="B264" s="5" t="s">
        <v>126</v>
      </c>
      <c r="C264" s="5" t="s">
        <v>29</v>
      </c>
      <c r="D264" s="4" t="s">
        <v>41</v>
      </c>
      <c r="E264" s="5" t="s">
        <v>169</v>
      </c>
      <c r="F264" s="5">
        <v>1</v>
      </c>
      <c r="G264" s="5" t="str">
        <f t="shared" si="6"/>
        <v>SAME1</v>
      </c>
      <c r="H264" s="6">
        <v>5.9863225234074546</v>
      </c>
      <c r="I264" s="6">
        <v>-1.035687848713873</v>
      </c>
      <c r="J264" s="6">
        <v>-1.2053568894959488</v>
      </c>
      <c r="K264" s="6">
        <v>-4.3746298992147814</v>
      </c>
      <c r="L264" s="6">
        <v>85.307966884074077</v>
      </c>
      <c r="M264" s="6">
        <v>85.923750694864538</v>
      </c>
      <c r="N264" s="6">
        <v>8.6634697327102543</v>
      </c>
      <c r="O264" s="6">
        <v>9.0424644699468217</v>
      </c>
      <c r="P264" s="6">
        <v>0.10374065470983306</v>
      </c>
      <c r="Q264" s="6">
        <v>0.64777524399479469</v>
      </c>
      <c r="R264" s="6">
        <v>9.9392596467174132E-2</v>
      </c>
      <c r="S264" s="6">
        <v>0.62062518891831608</v>
      </c>
    </row>
    <row r="265" spans="1:19" ht="16" x14ac:dyDescent="0.2">
      <c r="A265" s="4" t="s">
        <v>168</v>
      </c>
      <c r="B265" s="5" t="s">
        <v>126</v>
      </c>
      <c r="C265" s="5" t="s">
        <v>29</v>
      </c>
      <c r="D265" s="4" t="s">
        <v>41</v>
      </c>
      <c r="E265" s="5" t="s">
        <v>169</v>
      </c>
      <c r="F265" s="5">
        <v>2</v>
      </c>
      <c r="G265" s="5" t="str">
        <f t="shared" si="6"/>
        <v>SAME2</v>
      </c>
      <c r="H265" s="6">
        <v>5.6754924817943957</v>
      </c>
      <c r="I265" s="6">
        <v>-1.0037522200345623</v>
      </c>
      <c r="J265" s="6">
        <v>-1.1456837655526919</v>
      </c>
      <c r="K265" s="6">
        <v>21.72235377373498</v>
      </c>
      <c r="L265" s="6">
        <v>90.302675448093183</v>
      </c>
      <c r="M265" s="6">
        <v>87.611629859339075</v>
      </c>
      <c r="N265" s="6">
        <v>11.643909365416366</v>
      </c>
      <c r="O265" s="6">
        <v>9.1145781799675643</v>
      </c>
      <c r="P265" s="6">
        <v>7.6725225836932684E-2</v>
      </c>
      <c r="Q265" s="6">
        <v>0.48737586603500349</v>
      </c>
      <c r="R265" s="6">
        <v>9.8016776865204908E-2</v>
      </c>
      <c r="S265" s="6">
        <v>0.62262457998062681</v>
      </c>
    </row>
    <row r="266" spans="1:19" ht="16" x14ac:dyDescent="0.2">
      <c r="A266" s="4" t="s">
        <v>168</v>
      </c>
      <c r="B266" s="5" t="s">
        <v>126</v>
      </c>
      <c r="C266" s="5" t="s">
        <v>29</v>
      </c>
      <c r="D266" s="4" t="s">
        <v>41</v>
      </c>
      <c r="E266" s="5" t="s">
        <v>169</v>
      </c>
      <c r="F266" s="5">
        <v>3</v>
      </c>
      <c r="G266" s="5" t="str">
        <f t="shared" si="6"/>
        <v>SAME3</v>
      </c>
      <c r="H266" s="6">
        <v>6.1843270078473846</v>
      </c>
      <c r="I266" s="6">
        <v>-1.0349188782723147</v>
      </c>
      <c r="J266" s="6">
        <v>-1.2181901822050076</v>
      </c>
      <c r="K266" s="6">
        <v>21.412662536585671</v>
      </c>
      <c r="L266" s="6">
        <v>88.176884020319008</v>
      </c>
      <c r="M266" s="6">
        <v>84.95544401770178</v>
      </c>
      <c r="N266" s="6">
        <v>9.8591116310640512</v>
      </c>
      <c r="O266" s="6">
        <v>7.7480133283990416</v>
      </c>
      <c r="P266" s="6">
        <v>8.8179397738235202E-2</v>
      </c>
      <c r="Q266" s="6">
        <v>0.41689359788096925</v>
      </c>
      <c r="R266" s="6">
        <v>0.11220560536140615</v>
      </c>
      <c r="S266" s="6">
        <v>0.5304844410526719</v>
      </c>
    </row>
    <row r="267" spans="1:19" ht="16" x14ac:dyDescent="0.2">
      <c r="A267" s="4" t="s">
        <v>168</v>
      </c>
      <c r="B267" s="5" t="s">
        <v>126</v>
      </c>
      <c r="C267" s="5" t="s">
        <v>29</v>
      </c>
      <c r="D267" s="4" t="s">
        <v>41</v>
      </c>
      <c r="E267" s="5" t="s">
        <v>169</v>
      </c>
      <c r="F267" s="5">
        <v>5</v>
      </c>
      <c r="G267" s="5" t="str">
        <f t="shared" si="6"/>
        <v>SAME5</v>
      </c>
      <c r="H267" s="6">
        <v>6.6681045438614817</v>
      </c>
      <c r="I267" s="6">
        <v>-1.0027474956575497</v>
      </c>
      <c r="J267" s="6">
        <v>-1.1455382805333276</v>
      </c>
      <c r="K267" s="6">
        <v>17.7540675242562</v>
      </c>
      <c r="L267" s="6">
        <v>89.748084851792072</v>
      </c>
      <c r="M267" s="6">
        <v>87.535049041809515</v>
      </c>
      <c r="N267" s="6">
        <v>11.18326273168317</v>
      </c>
      <c r="O267" s="6">
        <v>9.1977787148851657</v>
      </c>
      <c r="P267" s="6">
        <v>7.9818968306260341E-2</v>
      </c>
      <c r="Q267" s="6">
        <v>0.48142591985966493</v>
      </c>
      <c r="R267" s="6">
        <v>1.3496862084960287E-2</v>
      </c>
      <c r="S267" s="6">
        <v>0.5853492146880922</v>
      </c>
    </row>
    <row r="268" spans="1:19" ht="16" x14ac:dyDescent="0.2">
      <c r="A268" s="4" t="s">
        <v>168</v>
      </c>
      <c r="B268" s="5" t="s">
        <v>126</v>
      </c>
      <c r="C268" s="5" t="s">
        <v>29</v>
      </c>
      <c r="D268" s="4" t="s">
        <v>41</v>
      </c>
      <c r="E268" s="5" t="s">
        <v>169</v>
      </c>
      <c r="F268" s="5">
        <v>6</v>
      </c>
      <c r="G268" s="5" t="str">
        <f t="shared" si="6"/>
        <v>SAME6</v>
      </c>
      <c r="H268" s="6">
        <v>19.769145611777333</v>
      </c>
      <c r="I268" s="6">
        <v>-0.96013048934061918</v>
      </c>
      <c r="J268" s="6">
        <v>-1.0495184769628882</v>
      </c>
      <c r="K268" s="6">
        <v>-25.499032523000551</v>
      </c>
      <c r="L268" s="6">
        <v>89.31118773798454</v>
      </c>
      <c r="M268" s="6">
        <v>91.482952460166189</v>
      </c>
      <c r="N268" s="6">
        <v>10.348934264733218</v>
      </c>
      <c r="O268" s="6">
        <v>12.987812378681475</v>
      </c>
      <c r="P268" s="6">
        <v>8.9602741479230516E-2</v>
      </c>
      <c r="Q268" s="6">
        <v>0.81966557710058119</v>
      </c>
      <c r="R268" s="6">
        <v>7.1397157155621005E-2</v>
      </c>
      <c r="S268" s="6">
        <v>0.65312501668118594</v>
      </c>
    </row>
    <row r="269" spans="1:19" ht="16" x14ac:dyDescent="0.2">
      <c r="A269" s="7" t="s">
        <v>170</v>
      </c>
      <c r="B269" s="8" t="s">
        <v>28</v>
      </c>
      <c r="C269" s="8" t="s">
        <v>29</v>
      </c>
      <c r="D269" s="7" t="s">
        <v>37</v>
      </c>
      <c r="E269" s="8" t="s">
        <v>171</v>
      </c>
      <c r="F269" s="8">
        <v>604071</v>
      </c>
      <c r="G269" s="5" t="str">
        <f t="shared" si="6"/>
        <v>SAPRTE604071</v>
      </c>
      <c r="H269" s="25">
        <v>2.6866729972141177</v>
      </c>
      <c r="I269" s="26">
        <v>-0.89074234346869374</v>
      </c>
      <c r="J269" s="26">
        <v>-1.084622843984212</v>
      </c>
      <c r="K269" s="9">
        <v>2.5037242452722319E-3</v>
      </c>
      <c r="L269" s="26">
        <v>82.169370829837774</v>
      </c>
      <c r="M269" s="9">
        <f t="shared" ref="M269:M279" si="7">(L269-K269/100)/(1-K269/100)</f>
        <v>82.17140313793837</v>
      </c>
      <c r="N269" s="26">
        <v>5.3717966834329998</v>
      </c>
      <c r="O269" s="9">
        <f t="shared" ref="O269:O279" si="8">N269/(1-K269)</f>
        <v>5.3852799393848159</v>
      </c>
      <c r="P269" s="26">
        <v>0.15581688014831488</v>
      </c>
      <c r="Q269" s="26">
        <v>0.39945482027117962</v>
      </c>
      <c r="R269" s="12">
        <v>0.50016636406122872</v>
      </c>
      <c r="S269" s="9"/>
    </row>
    <row r="270" spans="1:19" ht="16" x14ac:dyDescent="0.2">
      <c r="A270" s="7" t="s">
        <v>170</v>
      </c>
      <c r="B270" s="8" t="s">
        <v>28</v>
      </c>
      <c r="C270" s="8" t="s">
        <v>29</v>
      </c>
      <c r="D270" s="7" t="s">
        <v>37</v>
      </c>
      <c r="E270" s="8" t="s">
        <v>171</v>
      </c>
      <c r="F270" s="8">
        <v>1409175</v>
      </c>
      <c r="G270" s="5" t="str">
        <f t="shared" si="6"/>
        <v>SAPRTE1409175</v>
      </c>
      <c r="H270" s="9">
        <v>2.8052109208139706</v>
      </c>
      <c r="I270" s="9">
        <v>-1.2208545868216976</v>
      </c>
      <c r="J270" s="9">
        <v>-1.421691513306077</v>
      </c>
      <c r="K270" s="9">
        <v>-5.7218028889480577E-2</v>
      </c>
      <c r="L270" s="9">
        <v>85.065084966830995</v>
      </c>
      <c r="M270" s="9">
        <f t="shared" si="7"/>
        <v>85.017012088582078</v>
      </c>
      <c r="N270" s="9">
        <v>9.3236657692090681</v>
      </c>
      <c r="O270" s="9">
        <f t="shared" si="8"/>
        <v>8.8190567266458757</v>
      </c>
      <c r="P270" s="9">
        <v>9.4075804229958093E-2</v>
      </c>
      <c r="Q270" s="9">
        <v>0.29169250001336361</v>
      </c>
      <c r="R270" s="12">
        <v>0.7725262825428727</v>
      </c>
      <c r="S270" s="9"/>
    </row>
    <row r="271" spans="1:19" ht="16" x14ac:dyDescent="0.2">
      <c r="A271" s="7" t="s">
        <v>170</v>
      </c>
      <c r="B271" s="8" t="s">
        <v>28</v>
      </c>
      <c r="C271" s="8" t="s">
        <v>29</v>
      </c>
      <c r="D271" s="7" t="s">
        <v>37</v>
      </c>
      <c r="E271" s="8" t="s">
        <v>171</v>
      </c>
      <c r="F271" s="8">
        <v>1509057</v>
      </c>
      <c r="G271" s="5" t="str">
        <f t="shared" si="6"/>
        <v>SAPRTE1509057</v>
      </c>
      <c r="H271" s="12">
        <v>2.8497418251576776</v>
      </c>
      <c r="I271" s="13">
        <v>-1.0564412210213088</v>
      </c>
      <c r="J271" s="13">
        <v>-1.2325669349992192</v>
      </c>
      <c r="K271" s="9">
        <v>3.1516732067687681E-2</v>
      </c>
      <c r="L271" s="13">
        <v>86.161010635877034</v>
      </c>
      <c r="M271" s="9">
        <f t="shared" si="7"/>
        <v>86.187859065172802</v>
      </c>
      <c r="N271" s="13">
        <v>7.632234984173917</v>
      </c>
      <c r="O271" s="9">
        <f t="shared" si="8"/>
        <v>7.8806059297942737</v>
      </c>
      <c r="P271" s="13">
        <v>0.11226181045488676</v>
      </c>
      <c r="Q271" s="13">
        <v>0.51519137938532278</v>
      </c>
      <c r="R271" s="25">
        <v>0.94862065591345079</v>
      </c>
      <c r="S271" s="9"/>
    </row>
    <row r="272" spans="1:19" ht="16" x14ac:dyDescent="0.2">
      <c r="A272" s="7" t="s">
        <v>170</v>
      </c>
      <c r="B272" s="8" t="s">
        <v>28</v>
      </c>
      <c r="C272" s="8" t="s">
        <v>29</v>
      </c>
      <c r="D272" s="7" t="s">
        <v>37</v>
      </c>
      <c r="E272" s="8" t="s">
        <v>171</v>
      </c>
      <c r="F272" s="8">
        <v>1509076</v>
      </c>
      <c r="G272" s="5" t="str">
        <f t="shared" si="6"/>
        <v>SAPRTE1509076</v>
      </c>
      <c r="H272" s="25">
        <v>3.2097084221233514</v>
      </c>
      <c r="I272" s="26">
        <v>-1.059321305417942</v>
      </c>
      <c r="J272" s="26">
        <v>-1.1717557665952381</v>
      </c>
      <c r="K272" s="9">
        <v>-0.46948420709555716</v>
      </c>
      <c r="L272" s="26">
        <v>85.232066509218669</v>
      </c>
      <c r="M272" s="9">
        <f t="shared" si="7"/>
        <v>84.838458188551016</v>
      </c>
      <c r="N272" s="26">
        <v>8.0669889365728853</v>
      </c>
      <c r="O272" s="9">
        <f t="shared" si="8"/>
        <v>5.4896737900418335</v>
      </c>
      <c r="P272" s="26">
        <v>0.11366195941997496</v>
      </c>
      <c r="Q272" s="26">
        <v>0.97701006873013385</v>
      </c>
      <c r="R272" s="12">
        <v>0.97170977808700365</v>
      </c>
      <c r="S272" s="9"/>
    </row>
    <row r="273" spans="1:19" ht="16" x14ac:dyDescent="0.2">
      <c r="A273" s="7" t="s">
        <v>170</v>
      </c>
      <c r="B273" s="8" t="s">
        <v>28</v>
      </c>
      <c r="C273" s="8" t="s">
        <v>29</v>
      </c>
      <c r="D273" s="7" t="s">
        <v>37</v>
      </c>
      <c r="E273" s="8" t="s">
        <v>171</v>
      </c>
      <c r="F273" s="8">
        <v>1509082</v>
      </c>
      <c r="G273" s="5" t="str">
        <f t="shared" si="6"/>
        <v>SAPRTE1509082</v>
      </c>
      <c r="H273" s="12">
        <v>3.1837273263740915</v>
      </c>
      <c r="I273" s="13">
        <v>-1.1186954627501655</v>
      </c>
      <c r="J273" s="13">
        <v>-1.3343586330953841</v>
      </c>
      <c r="K273" s="9">
        <v>-0.68702913010017008</v>
      </c>
      <c r="L273" s="13">
        <v>72.733713288297707</v>
      </c>
      <c r="M273" s="9">
        <f t="shared" si="7"/>
        <v>72.244244574550734</v>
      </c>
      <c r="N273" s="13">
        <v>4.1743933647052316</v>
      </c>
      <c r="O273" s="9">
        <f t="shared" si="8"/>
        <v>2.4744050296614439</v>
      </c>
      <c r="P273" s="13">
        <v>0.20012727902414523</v>
      </c>
      <c r="Q273" s="13">
        <v>0.82732209733023343</v>
      </c>
      <c r="R273" s="25">
        <v>1.9536860907361961</v>
      </c>
      <c r="S273" s="9"/>
    </row>
    <row r="274" spans="1:19" ht="16" x14ac:dyDescent="0.2">
      <c r="A274" s="7" t="s">
        <v>172</v>
      </c>
      <c r="B274" s="8" t="s">
        <v>173</v>
      </c>
      <c r="C274" s="8" t="s">
        <v>29</v>
      </c>
      <c r="D274" s="7" t="s">
        <v>37</v>
      </c>
      <c r="E274" s="8" t="s">
        <v>174</v>
      </c>
      <c r="F274" s="8">
        <v>408117</v>
      </c>
      <c r="G274" s="5" t="str">
        <f t="shared" si="6"/>
        <v>SLOATO408117</v>
      </c>
      <c r="H274" s="9">
        <v>2.0623563578100135</v>
      </c>
      <c r="I274" s="9">
        <v>-1.3115557103907844</v>
      </c>
      <c r="J274" s="9">
        <v>-1.6670396772982514</v>
      </c>
      <c r="K274" s="9">
        <v>0.10079244237072349</v>
      </c>
      <c r="L274" s="9">
        <v>80.825059294492107</v>
      </c>
      <c r="M274" s="9">
        <f t="shared" si="7"/>
        <v>80.905598098406429</v>
      </c>
      <c r="N274" s="9">
        <v>7.3460295344536233</v>
      </c>
      <c r="O274" s="9">
        <f t="shared" si="8"/>
        <v>8.1694481681416526</v>
      </c>
      <c r="P274" s="9">
        <v>0.10799515873812608</v>
      </c>
      <c r="Q274" s="9">
        <v>0.14353620060675168</v>
      </c>
      <c r="R274" s="9">
        <v>0.88914968092082136</v>
      </c>
      <c r="S274" s="9"/>
    </row>
    <row r="275" spans="1:19" ht="16" x14ac:dyDescent="0.2">
      <c r="A275" s="7" t="s">
        <v>172</v>
      </c>
      <c r="B275" s="8" t="s">
        <v>173</v>
      </c>
      <c r="C275" s="8" t="s">
        <v>29</v>
      </c>
      <c r="D275" s="7" t="s">
        <v>37</v>
      </c>
      <c r="E275" s="8" t="s">
        <v>174</v>
      </c>
      <c r="F275" s="8">
        <v>617094</v>
      </c>
      <c r="G275" s="5" t="str">
        <f t="shared" si="6"/>
        <v>SLOATO617094</v>
      </c>
      <c r="H275" s="12">
        <v>1.3485295815442178</v>
      </c>
      <c r="I275" s="13">
        <v>-1.0522946187864644</v>
      </c>
      <c r="J275" s="13">
        <v>-1.4054242436286306</v>
      </c>
      <c r="K275" s="9">
        <v>0.33564040320476851</v>
      </c>
      <c r="L275" s="13">
        <v>83.307171749729335</v>
      </c>
      <c r="M275" s="9">
        <f t="shared" si="7"/>
        <v>83.584358222651915</v>
      </c>
      <c r="N275" s="13">
        <v>5.4584663317206754</v>
      </c>
      <c r="O275" s="9">
        <f t="shared" si="8"/>
        <v>8.2161322844608211</v>
      </c>
      <c r="P275" s="13">
        <v>0.13234918707415524</v>
      </c>
      <c r="Q275" s="13">
        <v>0.27215349120175003</v>
      </c>
      <c r="R275" s="12">
        <v>0.86222305403688126</v>
      </c>
      <c r="S275" s="9"/>
    </row>
    <row r="276" spans="1:19" ht="16" x14ac:dyDescent="0.2">
      <c r="A276" s="7" t="s">
        <v>172</v>
      </c>
      <c r="B276" s="8" t="s">
        <v>173</v>
      </c>
      <c r="C276" s="8" t="s">
        <v>29</v>
      </c>
      <c r="D276" s="7" t="s">
        <v>37</v>
      </c>
      <c r="E276" s="8" t="s">
        <v>174</v>
      </c>
      <c r="F276" s="8">
        <v>719191</v>
      </c>
      <c r="G276" s="5" t="str">
        <f t="shared" si="6"/>
        <v>SLOATO719191</v>
      </c>
      <c r="H276" s="12">
        <v>1.4961511239931924</v>
      </c>
      <c r="I276" s="13">
        <v>-1.0696515267718796</v>
      </c>
      <c r="J276" s="13">
        <v>-1.4705678037984973</v>
      </c>
      <c r="K276" s="9">
        <v>0.29585945123628488</v>
      </c>
      <c r="L276" s="13">
        <v>80.803237594034101</v>
      </c>
      <c r="M276" s="9">
        <f t="shared" si="7"/>
        <v>81.04004362788082</v>
      </c>
      <c r="N276" s="13">
        <v>5.7509588594331422</v>
      </c>
      <c r="O276" s="9">
        <f t="shared" si="8"/>
        <v>8.1673450982624249</v>
      </c>
      <c r="P276" s="13">
        <v>0.12505296503568203</v>
      </c>
      <c r="Q276" s="13">
        <v>0.28078626084827596</v>
      </c>
      <c r="R276" s="12">
        <v>0.70798592130116378</v>
      </c>
      <c r="S276" s="9"/>
    </row>
    <row r="277" spans="1:19" ht="16" x14ac:dyDescent="0.2">
      <c r="A277" s="7" t="s">
        <v>172</v>
      </c>
      <c r="B277" s="8" t="s">
        <v>173</v>
      </c>
      <c r="C277" s="8" t="s">
        <v>29</v>
      </c>
      <c r="D277" s="7" t="s">
        <v>37</v>
      </c>
      <c r="E277" s="8" t="s">
        <v>174</v>
      </c>
      <c r="F277" s="8">
        <v>920024</v>
      </c>
      <c r="G277" s="5" t="str">
        <f t="shared" si="6"/>
        <v>SLOATO920024</v>
      </c>
      <c r="H277" s="9">
        <v>1.3198654372862095</v>
      </c>
      <c r="I277" s="9">
        <v>-1.0851220699350796</v>
      </c>
      <c r="J277" s="9">
        <v>-1.4987247613734518</v>
      </c>
      <c r="K277" s="9">
        <v>-3.2157548356548382E-2</v>
      </c>
      <c r="L277" s="9">
        <v>71.515574374211283</v>
      </c>
      <c r="M277" s="9">
        <f t="shared" si="7"/>
        <v>71.492905584010174</v>
      </c>
      <c r="N277" s="9">
        <v>4.3637191986404416</v>
      </c>
      <c r="O277" s="9">
        <f t="shared" si="8"/>
        <v>4.2277646523910697</v>
      </c>
      <c r="P277" s="9">
        <v>0.17294742227404944</v>
      </c>
      <c r="Q277" s="9">
        <v>0.28397653376962939</v>
      </c>
      <c r="R277" s="9">
        <v>1.3003221948412589</v>
      </c>
      <c r="S277" s="9"/>
    </row>
    <row r="278" spans="1:19" ht="16" x14ac:dyDescent="0.2">
      <c r="A278" s="7" t="s">
        <v>172</v>
      </c>
      <c r="B278" s="8" t="s">
        <v>173</v>
      </c>
      <c r="C278" s="8" t="s">
        <v>29</v>
      </c>
      <c r="D278" s="7" t="s">
        <v>37</v>
      </c>
      <c r="E278" s="8" t="s">
        <v>174</v>
      </c>
      <c r="F278" s="8">
        <v>1020023</v>
      </c>
      <c r="G278" s="5" t="str">
        <f t="shared" si="6"/>
        <v>SLOATO1020023</v>
      </c>
      <c r="H278" s="12">
        <v>1.7036472932331395</v>
      </c>
      <c r="I278" s="13">
        <v>-0.97701926489889979</v>
      </c>
      <c r="J278" s="13">
        <v>-1.2316108717309189</v>
      </c>
      <c r="K278" s="9">
        <v>0.24561083759826408</v>
      </c>
      <c r="L278" s="13">
        <v>84.405695545493671</v>
      </c>
      <c r="M278" s="9">
        <f t="shared" si="7"/>
        <v>84.611053353961069</v>
      </c>
      <c r="N278" s="13">
        <v>6.8728152585318725</v>
      </c>
      <c r="O278" s="9">
        <f t="shared" si="8"/>
        <v>9.1104374254940357</v>
      </c>
      <c r="P278" s="13">
        <v>0.11784308271999246</v>
      </c>
      <c r="Q278" s="13">
        <v>0.34047830077692776</v>
      </c>
      <c r="R278" s="9">
        <v>0.58249973783191933</v>
      </c>
      <c r="S278" s="9"/>
    </row>
    <row r="279" spans="1:19" ht="16" x14ac:dyDescent="0.2">
      <c r="A279" s="7" t="s">
        <v>172</v>
      </c>
      <c r="B279" s="8" t="s">
        <v>173</v>
      </c>
      <c r="C279" s="8" t="s">
        <v>29</v>
      </c>
      <c r="D279" s="7" t="s">
        <v>37</v>
      </c>
      <c r="E279" s="8" t="s">
        <v>174</v>
      </c>
      <c r="F279" s="8">
        <v>1511057</v>
      </c>
      <c r="G279" s="5" t="str">
        <f t="shared" si="6"/>
        <v>SLOATO1511057</v>
      </c>
      <c r="H279" s="12">
        <v>1.291660951712724</v>
      </c>
      <c r="I279" s="13">
        <v>-1.2083541792981427</v>
      </c>
      <c r="J279" s="13">
        <v>-1.4466691625872066</v>
      </c>
      <c r="K279" s="9">
        <v>0.3237364372393482</v>
      </c>
      <c r="L279" s="13">
        <v>88.85966855268525</v>
      </c>
      <c r="M279" s="9">
        <f t="shared" si="7"/>
        <v>89.145026119849348</v>
      </c>
      <c r="N279" s="13">
        <v>10.549981487155199</v>
      </c>
      <c r="O279" s="9">
        <f t="shared" si="8"/>
        <v>15.600399116711136</v>
      </c>
      <c r="P279" s="13">
        <v>7.8669719950992631E-2</v>
      </c>
      <c r="Q279" s="13">
        <v>0.16484510594157006</v>
      </c>
      <c r="R279" s="9">
        <v>0.46772853738262987</v>
      </c>
      <c r="S279" s="9"/>
    </row>
    <row r="280" spans="1:19" ht="16" x14ac:dyDescent="0.2">
      <c r="A280" s="4" t="s">
        <v>175</v>
      </c>
      <c r="B280" s="5" t="s">
        <v>176</v>
      </c>
      <c r="C280" s="5" t="s">
        <v>29</v>
      </c>
      <c r="D280" s="4" t="s">
        <v>25</v>
      </c>
      <c r="E280" s="5" t="s">
        <v>177</v>
      </c>
      <c r="F280" s="5">
        <v>1</v>
      </c>
      <c r="G280" s="5" t="str">
        <f t="shared" si="6"/>
        <v>UMCA1</v>
      </c>
      <c r="H280" s="6">
        <v>1.6403895424980655</v>
      </c>
      <c r="I280" s="6">
        <v>-2.3244146098082248</v>
      </c>
      <c r="J280" s="6">
        <v>-2.5606129652171603</v>
      </c>
      <c r="K280" s="6">
        <v>-13.987761728987422</v>
      </c>
      <c r="L280" s="6">
        <v>89.485438751244828</v>
      </c>
      <c r="M280" s="6">
        <v>90.77571040147788</v>
      </c>
      <c r="N280" s="6">
        <v>22.033304261336422</v>
      </c>
      <c r="O280" s="6">
        <v>25.115270362435005</v>
      </c>
      <c r="P280" s="6">
        <v>4.1302231054468952E-2</v>
      </c>
      <c r="Q280" s="6">
        <v>0.28884844164145679</v>
      </c>
      <c r="R280" s="6">
        <v>3.6233917069682806E-2</v>
      </c>
      <c r="S280" s="6">
        <v>0.25340302964120975</v>
      </c>
    </row>
    <row r="281" spans="1:19" ht="16" x14ac:dyDescent="0.2">
      <c r="A281" s="4" t="s">
        <v>175</v>
      </c>
      <c r="B281" s="5" t="s">
        <v>176</v>
      </c>
      <c r="C281" s="5" t="s">
        <v>29</v>
      </c>
      <c r="D281" s="4" t="s">
        <v>25</v>
      </c>
      <c r="E281" s="5" t="s">
        <v>177</v>
      </c>
      <c r="F281" s="5">
        <v>2</v>
      </c>
      <c r="G281" s="5" t="str">
        <f t="shared" si="6"/>
        <v>UMCA2</v>
      </c>
      <c r="H281" s="6">
        <v>1.5373963228293257</v>
      </c>
      <c r="I281" s="6">
        <v>-2.0432147582351772</v>
      </c>
      <c r="J281" s="6">
        <v>-2.333235233528371</v>
      </c>
      <c r="K281" s="6">
        <v>-10.606536683683942</v>
      </c>
      <c r="L281" s="6">
        <v>86.251638978112467</v>
      </c>
      <c r="M281" s="6">
        <v>87.570028468384706</v>
      </c>
      <c r="N281" s="6">
        <v>15.155031301771734</v>
      </c>
      <c r="O281" s="6">
        <v>16.762455256217947</v>
      </c>
      <c r="P281" s="6">
        <v>5.7847543090863762E-2</v>
      </c>
      <c r="Q281" s="6">
        <v>0.16232833848380412</v>
      </c>
      <c r="R281" s="6">
        <v>5.2300293296677354E-2</v>
      </c>
      <c r="S281" s="6">
        <v>0.1467619756941089</v>
      </c>
    </row>
    <row r="282" spans="1:19" ht="16" x14ac:dyDescent="0.2">
      <c r="A282" s="4" t="s">
        <v>175</v>
      </c>
      <c r="B282" s="5" t="s">
        <v>176</v>
      </c>
      <c r="C282" s="5" t="s">
        <v>29</v>
      </c>
      <c r="D282" s="4" t="s">
        <v>25</v>
      </c>
      <c r="E282" s="5" t="s">
        <v>177</v>
      </c>
      <c r="F282" s="5">
        <v>3</v>
      </c>
      <c r="G282" s="5" t="str">
        <f t="shared" si="6"/>
        <v>UMCA3</v>
      </c>
      <c r="H282" s="6">
        <v>1.6062570204636859</v>
      </c>
      <c r="I282" s="6">
        <v>-2.1556624299220477</v>
      </c>
      <c r="J282" s="6">
        <v>-2.4764419758872078</v>
      </c>
      <c r="K282" s="6">
        <v>-26.180914682113269</v>
      </c>
      <c r="L282" s="6">
        <v>83.655479548760297</v>
      </c>
      <c r="M282" s="6">
        <v>87.046757037372615</v>
      </c>
      <c r="N282" s="6">
        <v>11.511139957743978</v>
      </c>
      <c r="O282" s="6">
        <v>14.524861689019579</v>
      </c>
      <c r="P282" s="6">
        <v>7.4048552231061202E-2</v>
      </c>
      <c r="Q282" s="6">
        <v>0.31336552770548881</v>
      </c>
      <c r="R282" s="6">
        <v>5.8684431332274953E-2</v>
      </c>
      <c r="S282" s="6">
        <v>0.24834621661679035</v>
      </c>
    </row>
    <row r="283" spans="1:19" ht="16" x14ac:dyDescent="0.2">
      <c r="A283" s="4" t="s">
        <v>175</v>
      </c>
      <c r="B283" s="5" t="s">
        <v>176</v>
      </c>
      <c r="C283" s="5" t="s">
        <v>29</v>
      </c>
      <c r="D283" s="4" t="s">
        <v>25</v>
      </c>
      <c r="E283" s="5" t="s">
        <v>177</v>
      </c>
      <c r="F283" s="5">
        <v>4</v>
      </c>
      <c r="G283" s="5" t="str">
        <f t="shared" si="6"/>
        <v>UMCA4</v>
      </c>
      <c r="H283" s="6">
        <v>1.5845776091531887</v>
      </c>
      <c r="I283" s="6">
        <v>-2.1389544853506894</v>
      </c>
      <c r="J283" s="6">
        <v>-2.456198628345724</v>
      </c>
      <c r="K283" s="6">
        <v>7.3849316399141713</v>
      </c>
      <c r="L283" s="6">
        <v>88.03778014886737</v>
      </c>
      <c r="M283" s="6">
        <v>87.083937783618836</v>
      </c>
      <c r="N283" s="6">
        <v>14.724914893908963</v>
      </c>
      <c r="O283" s="6">
        <v>13.637489994958241</v>
      </c>
      <c r="P283" s="6">
        <v>5.7469451199675524E-2</v>
      </c>
      <c r="Q283" s="6">
        <v>0.20826341062670264</v>
      </c>
      <c r="R283" s="6">
        <v>6.2051944912716886E-2</v>
      </c>
      <c r="S283" s="6">
        <v>0.22486989894233841</v>
      </c>
    </row>
    <row r="284" spans="1:19" ht="16" x14ac:dyDescent="0.2">
      <c r="A284" s="4" t="s">
        <v>175</v>
      </c>
      <c r="B284" s="5" t="s">
        <v>176</v>
      </c>
      <c r="C284" s="5" t="s">
        <v>29</v>
      </c>
      <c r="D284" s="4" t="s">
        <v>25</v>
      </c>
      <c r="E284" s="5" t="s">
        <v>177</v>
      </c>
      <c r="F284" s="5">
        <v>5</v>
      </c>
      <c r="G284" s="5" t="str">
        <f t="shared" si="6"/>
        <v>UMCA5</v>
      </c>
      <c r="H284" s="6">
        <v>1.6097186009496489</v>
      </c>
      <c r="I284" s="6">
        <v>-1.9502627206011824</v>
      </c>
      <c r="J284" s="6">
        <v>-2.2348736252638668</v>
      </c>
      <c r="K284" s="6">
        <v>16.70956773911503</v>
      </c>
      <c r="L284" s="6">
        <v>89.392972825155752</v>
      </c>
      <c r="M284" s="6">
        <v>87.265011254089103</v>
      </c>
      <c r="N284" s="6">
        <v>15.404171186083193</v>
      </c>
      <c r="O284" s="6">
        <v>12.830200767095384</v>
      </c>
      <c r="P284" s="6">
        <v>5.5114090257485669E-2</v>
      </c>
      <c r="Q284" s="6">
        <v>0.17679763292588635</v>
      </c>
      <c r="R284" s="6">
        <v>6.6170973977966091E-2</v>
      </c>
      <c r="S284" s="6">
        <v>0.21226643700457165</v>
      </c>
    </row>
    <row r="285" spans="1:19" ht="16" x14ac:dyDescent="0.2">
      <c r="A285" s="4" t="s">
        <v>175</v>
      </c>
      <c r="B285" s="5" t="s">
        <v>176</v>
      </c>
      <c r="C285" s="5" t="s">
        <v>29</v>
      </c>
      <c r="D285" s="4" t="s">
        <v>25</v>
      </c>
      <c r="E285" s="5" t="s">
        <v>177</v>
      </c>
      <c r="F285" s="5">
        <v>6</v>
      </c>
      <c r="G285" s="5" t="str">
        <f t="shared" si="6"/>
        <v>UMCA6</v>
      </c>
      <c r="H285" s="6">
        <v>1.6516077267595088</v>
      </c>
      <c r="I285" s="6">
        <v>-1.9502315364126308</v>
      </c>
      <c r="J285" s="6">
        <v>-2.2841367264412074</v>
      </c>
      <c r="K285" s="6">
        <v>4.0368649203338833</v>
      </c>
      <c r="L285" s="6">
        <v>85.971685283289602</v>
      </c>
      <c r="M285" s="6">
        <v>85.381558548431684</v>
      </c>
      <c r="N285" s="6">
        <v>11.275140081240778</v>
      </c>
      <c r="O285" s="6">
        <v>10.819977906582663</v>
      </c>
      <c r="P285" s="6">
        <v>7.2944144022836749E-2</v>
      </c>
      <c r="Q285" s="6">
        <v>0.18870680883527266</v>
      </c>
      <c r="R285" s="6">
        <v>7.6012672952254431E-2</v>
      </c>
      <c r="S285" s="6">
        <v>0.19664510614270117</v>
      </c>
    </row>
    <row r="286" spans="1:19" ht="16" x14ac:dyDescent="0.2">
      <c r="A286" s="4" t="s">
        <v>178</v>
      </c>
      <c r="B286" s="5" t="s">
        <v>179</v>
      </c>
      <c r="C286" s="5" t="s">
        <v>24</v>
      </c>
      <c r="D286" s="4" t="s">
        <v>25</v>
      </c>
      <c r="E286" s="5" t="s">
        <v>180</v>
      </c>
      <c r="F286" s="5">
        <v>2</v>
      </c>
      <c r="G286" s="5" t="str">
        <f t="shared" si="6"/>
        <v>VICA2</v>
      </c>
      <c r="H286" s="6">
        <v>8.5299761960157312</v>
      </c>
      <c r="I286" s="6">
        <v>-0.51777830569742711</v>
      </c>
      <c r="J286" s="6">
        <v>-0.71612034997515561</v>
      </c>
      <c r="K286" s="6">
        <v>41.255799955157087</v>
      </c>
      <c r="L286" s="6">
        <v>83.729767312494062</v>
      </c>
      <c r="M286" s="6">
        <v>72.303252618835728</v>
      </c>
      <c r="N286" s="6">
        <v>3.1686815186713586</v>
      </c>
      <c r="O286" s="6">
        <v>1.8614166101122547</v>
      </c>
      <c r="P286" s="6">
        <v>0.22595752048521298</v>
      </c>
      <c r="Q286" s="6">
        <v>0.3091826184447185</v>
      </c>
      <c r="R286" s="6">
        <v>0.38464651882692769</v>
      </c>
      <c r="S286" s="6">
        <v>0.52632024643914144</v>
      </c>
    </row>
    <row r="287" spans="1:19" ht="16" x14ac:dyDescent="0.2">
      <c r="A287" s="4" t="s">
        <v>178</v>
      </c>
      <c r="B287" s="5" t="s">
        <v>179</v>
      </c>
      <c r="C287" s="5" t="s">
        <v>24</v>
      </c>
      <c r="D287" s="4" t="s">
        <v>25</v>
      </c>
      <c r="E287" s="5" t="s">
        <v>180</v>
      </c>
      <c r="F287" s="5">
        <v>3</v>
      </c>
      <c r="G287" s="5" t="str">
        <f t="shared" si="6"/>
        <v>VICA3</v>
      </c>
      <c r="H287" s="6">
        <v>5.5542667016787126</v>
      </c>
      <c r="I287" s="6">
        <v>-0.56073389617942371</v>
      </c>
      <c r="J287" s="6">
        <v>-0.83342342034840033</v>
      </c>
      <c r="K287" s="6">
        <v>61.604463234885607</v>
      </c>
      <c r="L287" s="6">
        <v>87.437285304131919</v>
      </c>
      <c r="M287" s="6">
        <v>67.280794190426903</v>
      </c>
      <c r="N287" s="6">
        <v>4.096902728541906</v>
      </c>
      <c r="O287" s="6">
        <v>1.5730277933682795</v>
      </c>
      <c r="P287" s="6">
        <v>0.16009505227023227</v>
      </c>
      <c r="Q287" s="6">
        <v>0.17757632265677281</v>
      </c>
      <c r="R287" s="6">
        <v>0.41696266222196043</v>
      </c>
      <c r="S287" s="6">
        <v>0.46249209574305439</v>
      </c>
    </row>
    <row r="288" spans="1:19" ht="16" x14ac:dyDescent="0.2">
      <c r="A288" s="4" t="s">
        <v>178</v>
      </c>
      <c r="B288" s="5" t="s">
        <v>179</v>
      </c>
      <c r="C288" s="5" t="s">
        <v>24</v>
      </c>
      <c r="D288" s="4" t="s">
        <v>25</v>
      </c>
      <c r="E288" s="5" t="s">
        <v>180</v>
      </c>
      <c r="F288" s="5">
        <v>4</v>
      </c>
      <c r="G288" s="5" t="str">
        <f t="shared" si="6"/>
        <v>VICA4</v>
      </c>
      <c r="H288" s="6">
        <v>3.2940868201254152</v>
      </c>
      <c r="I288" s="6">
        <v>-0.65937354939216797</v>
      </c>
      <c r="J288" s="6">
        <v>-0.82148919839968826</v>
      </c>
      <c r="K288" s="6">
        <v>60.944435065840977</v>
      </c>
      <c r="L288" s="6">
        <v>92.292633586673162</v>
      </c>
      <c r="M288" s="6">
        <v>80.265638388997473</v>
      </c>
      <c r="N288" s="6">
        <v>9.114629120614028</v>
      </c>
      <c r="O288" s="6">
        <v>3.5597698947091789</v>
      </c>
      <c r="P288" s="6">
        <v>8.8794543932336906E-2</v>
      </c>
      <c r="Q288" s="6">
        <v>0.17010581488471202</v>
      </c>
      <c r="R288" s="6">
        <v>0.22735439644012134</v>
      </c>
      <c r="S288" s="6">
        <v>0.43554821232641577</v>
      </c>
    </row>
    <row r="289" spans="1:19" ht="16" x14ac:dyDescent="0.2">
      <c r="A289" s="4" t="s">
        <v>178</v>
      </c>
      <c r="B289" s="5" t="s">
        <v>179</v>
      </c>
      <c r="C289" s="5" t="s">
        <v>24</v>
      </c>
      <c r="D289" s="4" t="s">
        <v>25</v>
      </c>
      <c r="E289" s="5" t="s">
        <v>180</v>
      </c>
      <c r="F289" s="5">
        <v>5</v>
      </c>
      <c r="G289" s="5" t="str">
        <f t="shared" si="6"/>
        <v>VICA5</v>
      </c>
      <c r="H289" s="6">
        <v>4.7903945417264486</v>
      </c>
      <c r="I289" s="6">
        <v>-0.39212013294626935</v>
      </c>
      <c r="J289" s="6">
        <v>-0.61312389989890803</v>
      </c>
      <c r="K289" s="6">
        <v>60.489413383862271</v>
      </c>
      <c r="L289" s="6">
        <v>85.758199153360877</v>
      </c>
      <c r="M289" s="6">
        <v>63.95446874782116</v>
      </c>
      <c r="N289" s="6">
        <v>3.0930907968069339</v>
      </c>
      <c r="O289" s="6">
        <v>1.2220983183881853</v>
      </c>
      <c r="P289" s="6">
        <v>0.2103551392298425</v>
      </c>
      <c r="Q289" s="6">
        <v>0.20505215007579952</v>
      </c>
      <c r="R289" s="6">
        <v>0.53240196424703401</v>
      </c>
      <c r="S289" s="6">
        <v>0.5189802724722089</v>
      </c>
    </row>
    <row r="290" spans="1:19" ht="16" x14ac:dyDescent="0.2">
      <c r="A290" s="4" t="s">
        <v>178</v>
      </c>
      <c r="B290" s="5" t="s">
        <v>179</v>
      </c>
      <c r="C290" s="5" t="s">
        <v>24</v>
      </c>
      <c r="D290" s="4" t="s">
        <v>25</v>
      </c>
      <c r="E290" s="5" t="s">
        <v>180</v>
      </c>
      <c r="F290" s="5">
        <v>6</v>
      </c>
      <c r="G290" s="5" t="str">
        <f t="shared" si="6"/>
        <v>VICA6</v>
      </c>
      <c r="H290" s="6">
        <v>4.5990865222988004</v>
      </c>
      <c r="I290" s="6">
        <v>-0.8681887529943455</v>
      </c>
      <c r="J290" s="6">
        <v>-1.1684229264358708</v>
      </c>
      <c r="K290" s="6">
        <v>20.03637019954644</v>
      </c>
      <c r="L290" s="6">
        <v>79.452804497977326</v>
      </c>
      <c r="M290" s="6">
        <v>74.304323661522758</v>
      </c>
      <c r="N290" s="6">
        <v>4.650279633836166</v>
      </c>
      <c r="O290" s="6">
        <v>3.7185323910866384</v>
      </c>
      <c r="P290" s="6">
        <v>0.16524188394069633</v>
      </c>
      <c r="Q290" s="6">
        <v>0.28911459112143284</v>
      </c>
      <c r="R290" s="6">
        <v>0.2066463020163688</v>
      </c>
      <c r="S290" s="6">
        <v>0.36155761293341565</v>
      </c>
    </row>
    <row r="291" spans="1:19" ht="16" x14ac:dyDescent="0.2">
      <c r="A291" s="16" t="s">
        <v>181</v>
      </c>
      <c r="B291" s="5" t="s">
        <v>179</v>
      </c>
      <c r="C291" s="5" t="s">
        <v>24</v>
      </c>
      <c r="D291" s="4" t="s">
        <v>25</v>
      </c>
      <c r="E291" s="5" t="s">
        <v>182</v>
      </c>
      <c r="F291" s="5">
        <v>1</v>
      </c>
      <c r="G291" s="5" t="str">
        <f t="shared" si="6"/>
        <v>VIGI1</v>
      </c>
      <c r="H291" s="6">
        <v>3.7701808709154259</v>
      </c>
      <c r="I291" s="6">
        <v>-0.88449135812356561</v>
      </c>
      <c r="J291" s="6">
        <v>-1.1988897286536022</v>
      </c>
      <c r="K291" s="6">
        <v>46.848445882886836</v>
      </c>
      <c r="L291" s="6">
        <v>86.459497536556199</v>
      </c>
      <c r="M291" s="6">
        <v>73.780317111360347</v>
      </c>
      <c r="N291" s="6">
        <v>6.6017265347037304</v>
      </c>
      <c r="O291" s="6">
        <v>3.398957706159913</v>
      </c>
      <c r="P291" s="6">
        <v>0.11595982823376655</v>
      </c>
      <c r="Q291" s="6">
        <v>0.24901137830223552</v>
      </c>
      <c r="R291" s="6">
        <v>0.22503774002951404</v>
      </c>
      <c r="S291" s="6">
        <v>0.45375755505261417</v>
      </c>
    </row>
    <row r="292" spans="1:19" ht="16" x14ac:dyDescent="0.2">
      <c r="A292" s="16" t="s">
        <v>181</v>
      </c>
      <c r="B292" s="5" t="s">
        <v>179</v>
      </c>
      <c r="C292" s="5" t="s">
        <v>24</v>
      </c>
      <c r="D292" s="4" t="s">
        <v>25</v>
      </c>
      <c r="E292" s="5" t="s">
        <v>182</v>
      </c>
      <c r="F292" s="5">
        <v>2</v>
      </c>
      <c r="G292" s="5" t="str">
        <f t="shared" si="6"/>
        <v>VIGI2</v>
      </c>
      <c r="H292" s="6">
        <v>2.8389866046338676</v>
      </c>
      <c r="I292" s="6">
        <v>-1.0549589190233417</v>
      </c>
      <c r="J292" s="6">
        <v>-1.4213087402952111</v>
      </c>
      <c r="K292" s="6">
        <v>74.042422958255827</v>
      </c>
      <c r="L292" s="6">
        <v>93.309297663279978</v>
      </c>
      <c r="M292" s="6">
        <v>74.224472777408153</v>
      </c>
      <c r="N292" s="6">
        <v>15.745143068366689</v>
      </c>
      <c r="O292" s="6">
        <v>4.087057642304079</v>
      </c>
      <c r="P292" s="6">
        <v>4.7264164551952037E-2</v>
      </c>
      <c r="Q292" s="6">
        <v>8.7693923050125883E-2</v>
      </c>
      <c r="R292" s="6">
        <v>0.25307994293186264</v>
      </c>
      <c r="S292" s="6">
        <v>0.33783554955494999</v>
      </c>
    </row>
    <row r="293" spans="1:19" ht="16" x14ac:dyDescent="0.2">
      <c r="A293" s="16" t="s">
        <v>181</v>
      </c>
      <c r="B293" s="5" t="s">
        <v>179</v>
      </c>
      <c r="C293" s="5" t="s">
        <v>24</v>
      </c>
      <c r="D293" s="4" t="s">
        <v>25</v>
      </c>
      <c r="E293" s="5" t="s">
        <v>182</v>
      </c>
      <c r="F293" s="5">
        <v>3</v>
      </c>
      <c r="G293" s="5" t="str">
        <f t="shared" si="6"/>
        <v>VIGI3</v>
      </c>
      <c r="H293" s="6">
        <v>2.9293726000649856</v>
      </c>
      <c r="I293" s="6">
        <v>-1.1913472828703278</v>
      </c>
      <c r="J293" s="6">
        <v>-1.6071371216742965</v>
      </c>
      <c r="K293" s="6">
        <v>50.217107892598172</v>
      </c>
      <c r="L293" s="6">
        <v>87.120438943649205</v>
      </c>
      <c r="M293" s="6">
        <v>74.128539923786718</v>
      </c>
      <c r="N293" s="6">
        <v>8.7662949187966728</v>
      </c>
      <c r="O293" s="6">
        <v>4.3641151412411965</v>
      </c>
      <c r="P293" s="6">
        <v>8.3237042528180691E-2</v>
      </c>
      <c r="Q293" s="6">
        <v>0.15683076206728111</v>
      </c>
      <c r="R293" s="6">
        <v>0.16720009425849491</v>
      </c>
      <c r="S293" s="6">
        <v>0.31502943165482172</v>
      </c>
    </row>
    <row r="294" spans="1:19" ht="16" x14ac:dyDescent="0.2">
      <c r="A294" s="16" t="s">
        <v>181</v>
      </c>
      <c r="B294" s="5" t="s">
        <v>179</v>
      </c>
      <c r="C294" s="5" t="s">
        <v>24</v>
      </c>
      <c r="D294" s="4" t="s">
        <v>25</v>
      </c>
      <c r="E294" s="5" t="s">
        <v>182</v>
      </c>
      <c r="F294" s="5">
        <v>4</v>
      </c>
      <c r="G294" s="5" t="str">
        <f t="shared" si="6"/>
        <v>VIGI4</v>
      </c>
      <c r="H294" s="6">
        <v>3.4137268373546732</v>
      </c>
      <c r="I294" s="6">
        <v>-1.2084746032428095</v>
      </c>
      <c r="J294" s="6">
        <v>-1.5052320623765418</v>
      </c>
      <c r="K294" s="6">
        <v>56.643898167125577</v>
      </c>
      <c r="L294" s="6">
        <v>91.452316928757654</v>
      </c>
      <c r="M294" s="6">
        <v>80.284936352923836</v>
      </c>
      <c r="N294" s="6">
        <v>14.289425009324944</v>
      </c>
      <c r="O294" s="6">
        <v>6.1953376583751503</v>
      </c>
      <c r="P294" s="6">
        <v>5.6283987660704596E-2</v>
      </c>
      <c r="Q294" s="6">
        <v>0.17634119664793846</v>
      </c>
      <c r="R294" s="6">
        <v>0.12981791554430683</v>
      </c>
      <c r="S294" s="6">
        <v>0.40672751744998198</v>
      </c>
    </row>
    <row r="295" spans="1:19" ht="16" x14ac:dyDescent="0.2">
      <c r="A295" s="16" t="s">
        <v>181</v>
      </c>
      <c r="B295" s="5" t="s">
        <v>179</v>
      </c>
      <c r="C295" s="5" t="s">
        <v>24</v>
      </c>
      <c r="D295" s="4" t="s">
        <v>25</v>
      </c>
      <c r="E295" s="5" t="s">
        <v>182</v>
      </c>
      <c r="F295" s="5">
        <v>5</v>
      </c>
      <c r="G295" s="5" t="str">
        <f t="shared" si="6"/>
        <v>VIGI5</v>
      </c>
      <c r="H295" s="6">
        <v>2.3124884192120776</v>
      </c>
      <c r="I295" s="6">
        <v>-1.0834918524882986</v>
      </c>
      <c r="J295" s="6">
        <v>-1.3789387198983023</v>
      </c>
      <c r="K295" s="6">
        <v>67.747259873210155</v>
      </c>
      <c r="L295" s="6">
        <v>93.089634152450401</v>
      </c>
      <c r="M295" s="6">
        <v>78.574329435626154</v>
      </c>
      <c r="N295" s="6">
        <v>17.307604528332547</v>
      </c>
      <c r="O295" s="6">
        <v>5.5821767106956095</v>
      </c>
      <c r="P295" s="6">
        <v>4.6530761305716727E-2</v>
      </c>
      <c r="Q295" s="6">
        <v>0.1223392446265916</v>
      </c>
      <c r="R295" s="6">
        <v>0.14426917255029512</v>
      </c>
      <c r="S295" s="6">
        <v>0.37931426646436761</v>
      </c>
    </row>
  </sheetData>
  <hyperlinks>
    <hyperlink ref="B153" r:id="rId1" display="https://en.wikipedia.org/wiki/Chrysobalanaceae" xr:uid="{7814465F-87DE-43AE-8CEF-D628D015B089}"/>
    <hyperlink ref="B154:B158" r:id="rId2" display="https://en.wikipedia.org/wiki/Chrysobalanaceae" xr:uid="{BF3EF971-F28D-4B44-AD63-126FD640CA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Marvin</dc:creator>
  <cp:keywords/>
  <dc:description/>
  <cp:lastModifiedBy>Marvin Browne</cp:lastModifiedBy>
  <dcterms:created xsi:type="dcterms:W3CDTF">2023-04-28T21:37:24Z</dcterms:created>
  <dcterms:modified xsi:type="dcterms:W3CDTF">2023-07-08T22:08:40Z</dcterms:modified>
  <cp:category/>
</cp:coreProperties>
</file>