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showInkAnnotation="0" autoCompressPictures="0"/>
  <bookViews>
    <workbookView xWindow="240" yWindow="140" windowWidth="25360" windowHeight="14340" tabRatio="500"/>
  </bookViews>
  <sheets>
    <sheet name="Database-trait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52" i="1" l="1"/>
  <c r="G752" i="1"/>
  <c r="G751" i="1"/>
  <c r="G750" i="1"/>
  <c r="G749" i="1"/>
  <c r="F748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F717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F705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F692" i="1"/>
  <c r="G692" i="1"/>
  <c r="G691" i="1"/>
  <c r="G690" i="1"/>
  <c r="G689" i="1"/>
  <c r="G688" i="1"/>
  <c r="G687" i="1"/>
  <c r="G686" i="1"/>
  <c r="G685" i="1"/>
  <c r="G684" i="1"/>
  <c r="F683" i="1"/>
  <c r="G683" i="1"/>
  <c r="G682" i="1"/>
  <c r="G681" i="1"/>
  <c r="G680" i="1"/>
  <c r="G679" i="1"/>
  <c r="G678" i="1"/>
  <c r="G677" i="1"/>
  <c r="G676" i="1"/>
  <c r="F675" i="1"/>
  <c r="G675" i="1"/>
  <c r="H674" i="1"/>
  <c r="G674" i="1"/>
  <c r="G673" i="1"/>
  <c r="H672" i="1"/>
  <c r="F672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F655" i="1"/>
  <c r="G655" i="1"/>
  <c r="F654" i="1"/>
  <c r="G654" i="1"/>
  <c r="F653" i="1"/>
  <c r="G653" i="1"/>
  <c r="F652" i="1"/>
  <c r="G652" i="1"/>
  <c r="F651" i="1"/>
  <c r="G651" i="1"/>
  <c r="F650" i="1"/>
  <c r="G650" i="1"/>
  <c r="F649" i="1"/>
  <c r="G649" i="1"/>
  <c r="F648" i="1"/>
  <c r="G648" i="1"/>
  <c r="F647" i="1"/>
  <c r="G647" i="1"/>
  <c r="E646" i="1"/>
  <c r="E644" i="1"/>
  <c r="E645" i="1"/>
  <c r="F646" i="1"/>
  <c r="G646" i="1"/>
  <c r="F645" i="1"/>
  <c r="G645" i="1"/>
  <c r="F644" i="1"/>
  <c r="G644" i="1"/>
  <c r="F643" i="1"/>
  <c r="G643" i="1"/>
  <c r="F642" i="1"/>
  <c r="G642" i="1"/>
  <c r="F641" i="1"/>
  <c r="G641" i="1"/>
  <c r="F640" i="1"/>
  <c r="G640" i="1"/>
  <c r="F639" i="1"/>
  <c r="G639" i="1"/>
  <c r="F638" i="1"/>
  <c r="G638" i="1"/>
  <c r="F637" i="1"/>
  <c r="G637" i="1"/>
  <c r="F636" i="1"/>
  <c r="G636" i="1"/>
  <c r="F635" i="1"/>
  <c r="G635" i="1"/>
  <c r="F634" i="1"/>
  <c r="G634" i="1"/>
  <c r="F633" i="1"/>
  <c r="G633" i="1"/>
  <c r="F632" i="1"/>
  <c r="G632" i="1"/>
  <c r="F631" i="1"/>
  <c r="G631" i="1"/>
  <c r="F630" i="1"/>
  <c r="G630" i="1"/>
  <c r="F629" i="1"/>
  <c r="G629" i="1"/>
  <c r="F628" i="1"/>
  <c r="G628" i="1"/>
  <c r="F627" i="1"/>
  <c r="G627" i="1"/>
  <c r="F626" i="1"/>
  <c r="G626" i="1"/>
  <c r="F625" i="1"/>
  <c r="G625" i="1"/>
  <c r="F624" i="1"/>
  <c r="G624" i="1"/>
  <c r="F623" i="1"/>
  <c r="G623" i="1"/>
  <c r="F622" i="1"/>
  <c r="G622" i="1"/>
  <c r="F621" i="1"/>
  <c r="G621" i="1"/>
  <c r="F620" i="1"/>
  <c r="G620" i="1"/>
  <c r="F619" i="1"/>
  <c r="G619" i="1"/>
  <c r="F618" i="1"/>
  <c r="G618" i="1"/>
  <c r="F617" i="1"/>
  <c r="G617" i="1"/>
  <c r="F616" i="1"/>
  <c r="G616" i="1"/>
  <c r="F615" i="1"/>
  <c r="G615" i="1"/>
  <c r="F614" i="1"/>
  <c r="G614" i="1"/>
  <c r="F613" i="1"/>
  <c r="G613" i="1"/>
  <c r="F612" i="1"/>
  <c r="G612" i="1"/>
  <c r="F611" i="1"/>
  <c r="G611" i="1"/>
  <c r="F610" i="1"/>
  <c r="G610" i="1"/>
  <c r="F609" i="1"/>
  <c r="G609" i="1"/>
  <c r="F608" i="1"/>
  <c r="G608" i="1"/>
  <c r="F607" i="1"/>
  <c r="G607" i="1"/>
  <c r="F606" i="1"/>
  <c r="G606" i="1"/>
  <c r="F605" i="1"/>
  <c r="G605" i="1"/>
  <c r="F604" i="1"/>
  <c r="G604" i="1"/>
  <c r="F603" i="1"/>
  <c r="G603" i="1"/>
  <c r="F602" i="1"/>
  <c r="G602" i="1"/>
  <c r="F601" i="1"/>
  <c r="G601" i="1"/>
  <c r="F600" i="1"/>
  <c r="G600" i="1"/>
  <c r="F599" i="1"/>
  <c r="G599" i="1"/>
  <c r="F598" i="1"/>
  <c r="G598" i="1"/>
  <c r="F597" i="1"/>
  <c r="G597" i="1"/>
  <c r="F596" i="1"/>
  <c r="G596" i="1"/>
  <c r="F595" i="1"/>
  <c r="G595" i="1"/>
  <c r="F594" i="1"/>
  <c r="G594" i="1"/>
  <c r="F593" i="1"/>
  <c r="G593" i="1"/>
  <c r="F592" i="1"/>
  <c r="G592" i="1"/>
  <c r="F591" i="1"/>
  <c r="G591" i="1"/>
  <c r="F590" i="1"/>
  <c r="G590" i="1"/>
  <c r="H589" i="1"/>
  <c r="F589" i="1"/>
  <c r="G589" i="1"/>
  <c r="F588" i="1"/>
  <c r="G588" i="1"/>
  <c r="H587" i="1"/>
  <c r="F587" i="1"/>
  <c r="G587" i="1"/>
  <c r="H586" i="1"/>
  <c r="F586" i="1"/>
  <c r="G586" i="1"/>
  <c r="H585" i="1"/>
  <c r="F585" i="1"/>
  <c r="G585" i="1"/>
  <c r="H584" i="1"/>
  <c r="F584" i="1"/>
  <c r="G584" i="1"/>
  <c r="G583" i="1"/>
  <c r="G582" i="1"/>
  <c r="F581" i="1"/>
  <c r="G581" i="1"/>
  <c r="F580" i="1"/>
  <c r="G580" i="1"/>
  <c r="F579" i="1"/>
  <c r="G579" i="1"/>
  <c r="F578" i="1"/>
  <c r="G578" i="1"/>
  <c r="F577" i="1"/>
  <c r="G577" i="1"/>
  <c r="F576" i="1"/>
  <c r="G576" i="1"/>
  <c r="F575" i="1"/>
  <c r="G575" i="1"/>
  <c r="F574" i="1"/>
  <c r="G574" i="1"/>
  <c r="F573" i="1"/>
  <c r="G573" i="1"/>
  <c r="F572" i="1"/>
  <c r="G572" i="1"/>
  <c r="F571" i="1"/>
  <c r="G571" i="1"/>
  <c r="F570" i="1"/>
  <c r="G570" i="1"/>
  <c r="F569" i="1"/>
  <c r="G569" i="1"/>
  <c r="F568" i="1"/>
  <c r="G568" i="1"/>
  <c r="H567" i="1"/>
  <c r="F567" i="1"/>
  <c r="G567" i="1"/>
  <c r="F566" i="1"/>
  <c r="G566" i="1"/>
  <c r="F565" i="1"/>
  <c r="G565" i="1"/>
  <c r="H564" i="1"/>
  <c r="F564" i="1"/>
  <c r="G564" i="1"/>
  <c r="F563" i="1"/>
  <c r="G563" i="1"/>
  <c r="F562" i="1"/>
  <c r="G562" i="1"/>
  <c r="F561" i="1"/>
  <c r="G561" i="1"/>
  <c r="F560" i="1"/>
  <c r="G560" i="1"/>
  <c r="F559" i="1"/>
  <c r="G559" i="1"/>
  <c r="F558" i="1"/>
  <c r="G558" i="1"/>
  <c r="F557" i="1"/>
  <c r="G557" i="1"/>
  <c r="F556" i="1"/>
  <c r="G556" i="1"/>
  <c r="F555" i="1"/>
  <c r="G555" i="1"/>
  <c r="F554" i="1"/>
  <c r="G554" i="1"/>
  <c r="F553" i="1"/>
  <c r="G553" i="1"/>
  <c r="F552" i="1"/>
  <c r="G552" i="1"/>
  <c r="F551" i="1"/>
  <c r="G551" i="1"/>
  <c r="F550" i="1"/>
  <c r="G550" i="1"/>
  <c r="F549" i="1"/>
  <c r="G549" i="1"/>
  <c r="F548" i="1"/>
  <c r="G548" i="1"/>
  <c r="F547" i="1"/>
  <c r="G547" i="1"/>
  <c r="F546" i="1"/>
  <c r="G546" i="1"/>
  <c r="F545" i="1"/>
  <c r="G545" i="1"/>
  <c r="F544" i="1"/>
  <c r="G544" i="1"/>
  <c r="F543" i="1"/>
  <c r="G543" i="1"/>
  <c r="F542" i="1"/>
  <c r="G542" i="1"/>
  <c r="F541" i="1"/>
  <c r="G541" i="1"/>
  <c r="F540" i="1"/>
  <c r="G540" i="1"/>
  <c r="F539" i="1"/>
  <c r="G539" i="1"/>
  <c r="F538" i="1"/>
  <c r="G538" i="1"/>
  <c r="F537" i="1"/>
  <c r="G537" i="1"/>
  <c r="F536" i="1"/>
  <c r="G536" i="1"/>
  <c r="F535" i="1"/>
  <c r="G535" i="1"/>
  <c r="F534" i="1"/>
  <c r="G534" i="1"/>
  <c r="H533" i="1"/>
  <c r="F533" i="1"/>
  <c r="G533" i="1"/>
  <c r="H532" i="1"/>
  <c r="F532" i="1"/>
  <c r="G532" i="1"/>
  <c r="H531" i="1"/>
  <c r="F531" i="1"/>
  <c r="G531" i="1"/>
  <c r="H530" i="1"/>
  <c r="F530" i="1"/>
  <c r="G530" i="1"/>
  <c r="H529" i="1"/>
  <c r="F529" i="1"/>
  <c r="G529" i="1"/>
  <c r="H528" i="1"/>
  <c r="F528" i="1"/>
  <c r="G528" i="1"/>
  <c r="H527" i="1"/>
  <c r="F527" i="1"/>
  <c r="G527" i="1"/>
  <c r="H526" i="1"/>
  <c r="F526" i="1"/>
  <c r="G526" i="1"/>
  <c r="H525" i="1"/>
  <c r="F525" i="1"/>
  <c r="G525" i="1"/>
  <c r="H524" i="1"/>
  <c r="F524" i="1"/>
  <c r="G524" i="1"/>
  <c r="F523" i="1"/>
  <c r="G523" i="1"/>
  <c r="H522" i="1"/>
  <c r="F522" i="1"/>
  <c r="G522" i="1"/>
  <c r="H521" i="1"/>
  <c r="F521" i="1"/>
  <c r="G521" i="1"/>
  <c r="H520" i="1"/>
  <c r="F520" i="1"/>
  <c r="G520" i="1"/>
  <c r="H519" i="1"/>
  <c r="F519" i="1"/>
  <c r="G519" i="1"/>
  <c r="H518" i="1"/>
  <c r="F518" i="1"/>
  <c r="G518" i="1"/>
  <c r="H517" i="1"/>
  <c r="F517" i="1"/>
  <c r="G517" i="1"/>
  <c r="H516" i="1"/>
  <c r="F516" i="1"/>
  <c r="G516" i="1"/>
  <c r="F515" i="1"/>
  <c r="G515" i="1"/>
  <c r="F514" i="1"/>
  <c r="G514" i="1"/>
  <c r="H513" i="1"/>
  <c r="F513" i="1"/>
  <c r="G513" i="1"/>
  <c r="H512" i="1"/>
  <c r="F512" i="1"/>
  <c r="G512" i="1"/>
  <c r="H511" i="1"/>
  <c r="F511" i="1"/>
  <c r="G511" i="1"/>
  <c r="F510" i="1"/>
  <c r="G510" i="1"/>
  <c r="H509" i="1"/>
  <c r="F509" i="1"/>
  <c r="G509" i="1"/>
  <c r="F508" i="1"/>
  <c r="G508" i="1"/>
  <c r="F507" i="1"/>
  <c r="G507" i="1"/>
  <c r="F506" i="1"/>
  <c r="G506" i="1"/>
  <c r="F505" i="1"/>
  <c r="G505" i="1"/>
  <c r="F504" i="1"/>
  <c r="G504" i="1"/>
  <c r="F503" i="1"/>
  <c r="G503" i="1"/>
  <c r="F502" i="1"/>
  <c r="G502" i="1"/>
  <c r="F501" i="1"/>
  <c r="G501" i="1"/>
  <c r="F500" i="1"/>
  <c r="G500" i="1"/>
  <c r="F499" i="1"/>
  <c r="G499" i="1"/>
  <c r="F498" i="1"/>
  <c r="G498" i="1"/>
  <c r="F497" i="1"/>
  <c r="G497" i="1"/>
  <c r="F496" i="1"/>
  <c r="G496" i="1"/>
  <c r="F495" i="1"/>
  <c r="G495" i="1"/>
  <c r="F494" i="1"/>
  <c r="G494" i="1"/>
  <c r="F493" i="1"/>
  <c r="G493" i="1"/>
  <c r="F492" i="1"/>
  <c r="G492" i="1"/>
  <c r="F491" i="1"/>
  <c r="G491" i="1"/>
  <c r="F490" i="1"/>
  <c r="G490" i="1"/>
  <c r="F489" i="1"/>
  <c r="G489" i="1"/>
  <c r="F488" i="1"/>
  <c r="G488" i="1"/>
  <c r="F487" i="1"/>
  <c r="G487" i="1"/>
  <c r="F486" i="1"/>
  <c r="G486" i="1"/>
  <c r="F485" i="1"/>
  <c r="G485" i="1"/>
  <c r="F484" i="1"/>
  <c r="G484" i="1"/>
  <c r="F483" i="1"/>
  <c r="G483" i="1"/>
  <c r="F482" i="1"/>
  <c r="G482" i="1"/>
  <c r="F481" i="1"/>
  <c r="G481" i="1"/>
  <c r="F480" i="1"/>
  <c r="G480" i="1"/>
  <c r="F479" i="1"/>
  <c r="G479" i="1"/>
  <c r="F478" i="1"/>
  <c r="G478" i="1"/>
  <c r="F477" i="1"/>
  <c r="G477" i="1"/>
  <c r="F476" i="1"/>
  <c r="G476" i="1"/>
  <c r="F475" i="1"/>
  <c r="G475" i="1"/>
  <c r="F474" i="1"/>
  <c r="G474" i="1"/>
  <c r="F473" i="1"/>
  <c r="G473" i="1"/>
  <c r="F472" i="1"/>
  <c r="G472" i="1"/>
  <c r="F471" i="1"/>
  <c r="G471" i="1"/>
  <c r="F470" i="1"/>
  <c r="G470" i="1"/>
  <c r="F469" i="1"/>
  <c r="G469" i="1"/>
  <c r="F468" i="1"/>
  <c r="G468" i="1"/>
  <c r="F467" i="1"/>
  <c r="G467" i="1"/>
  <c r="F466" i="1"/>
  <c r="G466" i="1"/>
  <c r="F465" i="1"/>
  <c r="G465" i="1"/>
  <c r="F464" i="1"/>
  <c r="G464" i="1"/>
  <c r="F463" i="1"/>
  <c r="G463" i="1"/>
  <c r="F462" i="1"/>
  <c r="G462" i="1"/>
  <c r="F461" i="1"/>
  <c r="G461" i="1"/>
  <c r="F460" i="1"/>
  <c r="G460" i="1"/>
  <c r="F459" i="1"/>
  <c r="G459" i="1"/>
  <c r="F458" i="1"/>
  <c r="G458" i="1"/>
  <c r="F457" i="1"/>
  <c r="G457" i="1"/>
  <c r="F456" i="1"/>
  <c r="G456" i="1"/>
  <c r="F455" i="1"/>
  <c r="G455" i="1"/>
  <c r="F454" i="1"/>
  <c r="G454" i="1"/>
  <c r="F453" i="1"/>
  <c r="G453" i="1"/>
  <c r="F452" i="1"/>
  <c r="G452" i="1"/>
  <c r="F451" i="1"/>
  <c r="G451" i="1"/>
  <c r="F450" i="1"/>
  <c r="G450" i="1"/>
  <c r="F449" i="1"/>
  <c r="G449" i="1"/>
  <c r="F448" i="1"/>
  <c r="G448" i="1"/>
  <c r="F447" i="1"/>
  <c r="G447" i="1"/>
  <c r="F446" i="1"/>
  <c r="G446" i="1"/>
  <c r="F445" i="1"/>
  <c r="G445" i="1"/>
  <c r="F444" i="1"/>
  <c r="G444" i="1"/>
  <c r="F443" i="1"/>
  <c r="G443" i="1"/>
  <c r="F442" i="1"/>
  <c r="G442" i="1"/>
  <c r="F441" i="1"/>
  <c r="G441" i="1"/>
  <c r="F440" i="1"/>
  <c r="G440" i="1"/>
  <c r="F439" i="1"/>
  <c r="G439" i="1"/>
  <c r="F438" i="1"/>
  <c r="G438" i="1"/>
  <c r="F437" i="1"/>
  <c r="G437" i="1"/>
  <c r="F436" i="1"/>
  <c r="G436" i="1"/>
  <c r="F435" i="1"/>
  <c r="G435" i="1"/>
  <c r="F434" i="1"/>
  <c r="G434" i="1"/>
  <c r="F433" i="1"/>
  <c r="G433" i="1"/>
  <c r="F432" i="1"/>
  <c r="G432" i="1"/>
  <c r="F431" i="1"/>
  <c r="G431" i="1"/>
  <c r="F430" i="1"/>
  <c r="G430" i="1"/>
  <c r="F429" i="1"/>
  <c r="G429" i="1"/>
  <c r="F428" i="1"/>
  <c r="G428" i="1"/>
  <c r="F427" i="1"/>
  <c r="G427" i="1"/>
  <c r="F426" i="1"/>
  <c r="G426" i="1"/>
  <c r="F425" i="1"/>
  <c r="G425" i="1"/>
  <c r="F424" i="1"/>
  <c r="G424" i="1"/>
  <c r="F423" i="1"/>
  <c r="G423" i="1"/>
  <c r="F422" i="1"/>
  <c r="G422" i="1"/>
  <c r="F421" i="1"/>
  <c r="G421" i="1"/>
  <c r="F420" i="1"/>
  <c r="G420" i="1"/>
  <c r="F419" i="1"/>
  <c r="G419" i="1"/>
  <c r="F418" i="1"/>
  <c r="G418" i="1"/>
  <c r="F417" i="1"/>
  <c r="G417" i="1"/>
  <c r="F416" i="1"/>
  <c r="G416" i="1"/>
  <c r="F415" i="1"/>
  <c r="G415" i="1"/>
  <c r="F414" i="1"/>
  <c r="G414" i="1"/>
  <c r="F413" i="1"/>
  <c r="G413" i="1"/>
  <c r="F412" i="1"/>
  <c r="G412" i="1"/>
  <c r="F411" i="1"/>
  <c r="G411" i="1"/>
  <c r="F410" i="1"/>
  <c r="G410" i="1"/>
  <c r="G409" i="1"/>
  <c r="F408" i="1"/>
  <c r="G408" i="1"/>
  <c r="F407" i="1"/>
  <c r="G407" i="1"/>
  <c r="F406" i="1"/>
  <c r="G406" i="1"/>
  <c r="F405" i="1"/>
  <c r="G405" i="1"/>
  <c r="F404" i="1"/>
  <c r="G404" i="1"/>
  <c r="F403" i="1"/>
  <c r="G403" i="1"/>
  <c r="F402" i="1"/>
  <c r="G402" i="1"/>
  <c r="G401" i="1"/>
  <c r="F400" i="1"/>
  <c r="G400" i="1"/>
  <c r="F399" i="1"/>
  <c r="G399" i="1"/>
  <c r="F398" i="1"/>
  <c r="G398" i="1"/>
  <c r="F397" i="1"/>
  <c r="G397" i="1"/>
  <c r="F396" i="1"/>
  <c r="G396" i="1"/>
  <c r="F395" i="1"/>
  <c r="G395" i="1"/>
  <c r="F394" i="1"/>
  <c r="G394" i="1"/>
  <c r="F393" i="1"/>
  <c r="G393" i="1"/>
  <c r="F392" i="1"/>
  <c r="G392" i="1"/>
  <c r="F391" i="1"/>
  <c r="G391" i="1"/>
  <c r="F390" i="1"/>
  <c r="G390" i="1"/>
  <c r="F389" i="1"/>
  <c r="G389" i="1"/>
  <c r="F388" i="1"/>
  <c r="G388" i="1"/>
  <c r="F387" i="1"/>
  <c r="G387" i="1"/>
  <c r="F386" i="1"/>
  <c r="G386" i="1"/>
  <c r="F385" i="1"/>
  <c r="G385" i="1"/>
  <c r="F384" i="1"/>
  <c r="G384" i="1"/>
  <c r="H383" i="1"/>
  <c r="F383" i="1"/>
  <c r="G383" i="1"/>
  <c r="H382" i="1"/>
  <c r="F382" i="1"/>
  <c r="G382" i="1"/>
  <c r="H381" i="1"/>
  <c r="F381" i="1"/>
  <c r="G381" i="1"/>
  <c r="H380" i="1"/>
  <c r="F380" i="1"/>
  <c r="G380" i="1"/>
  <c r="H379" i="1"/>
  <c r="F379" i="1"/>
  <c r="G379" i="1"/>
  <c r="H378" i="1"/>
  <c r="F378" i="1"/>
  <c r="G378" i="1"/>
  <c r="G377" i="1"/>
  <c r="G376" i="1"/>
  <c r="G375" i="1"/>
  <c r="G374" i="1"/>
  <c r="H373" i="1"/>
  <c r="G373" i="1"/>
  <c r="H372" i="1"/>
  <c r="E372" i="1"/>
  <c r="G372" i="1"/>
  <c r="H371" i="1"/>
  <c r="E371" i="1"/>
  <c r="G371" i="1"/>
  <c r="H370" i="1"/>
  <c r="E370" i="1"/>
  <c r="G370" i="1"/>
  <c r="H369" i="1"/>
  <c r="E369" i="1"/>
  <c r="F369" i="1"/>
  <c r="G369" i="1"/>
  <c r="F368" i="1"/>
  <c r="G368" i="1"/>
  <c r="F367" i="1"/>
  <c r="G367" i="1"/>
  <c r="F366" i="1"/>
  <c r="G366" i="1"/>
  <c r="F365" i="1"/>
  <c r="G365" i="1"/>
  <c r="F364" i="1"/>
  <c r="G364" i="1"/>
  <c r="F363" i="1"/>
  <c r="G363" i="1"/>
  <c r="F362" i="1"/>
  <c r="G362" i="1"/>
  <c r="F361" i="1"/>
  <c r="G361" i="1"/>
  <c r="F360" i="1"/>
  <c r="G360" i="1"/>
  <c r="F359" i="1"/>
  <c r="G359" i="1"/>
  <c r="F358" i="1"/>
  <c r="G358" i="1"/>
  <c r="F357" i="1"/>
  <c r="G357" i="1"/>
  <c r="F356" i="1"/>
  <c r="G356" i="1"/>
  <c r="F355" i="1"/>
  <c r="G355" i="1"/>
  <c r="F354" i="1"/>
  <c r="G354" i="1"/>
  <c r="F353" i="1"/>
  <c r="G353" i="1"/>
  <c r="G352" i="1"/>
  <c r="G351" i="1"/>
  <c r="G350" i="1"/>
  <c r="G349" i="1"/>
  <c r="G348" i="1"/>
  <c r="H347" i="1"/>
  <c r="G347" i="1"/>
  <c r="G346" i="1"/>
  <c r="G345" i="1"/>
  <c r="G344" i="1"/>
  <c r="G343" i="1"/>
  <c r="G342" i="1"/>
  <c r="F341" i="1"/>
  <c r="G341" i="1"/>
  <c r="F340" i="1"/>
  <c r="G340" i="1"/>
  <c r="F339" i="1"/>
  <c r="G339" i="1"/>
  <c r="F338" i="1"/>
  <c r="G338" i="1"/>
  <c r="F337" i="1"/>
  <c r="G337" i="1"/>
  <c r="F336" i="1"/>
  <c r="G336" i="1"/>
  <c r="F335" i="1"/>
  <c r="G335" i="1"/>
  <c r="F334" i="1"/>
  <c r="G334" i="1"/>
  <c r="F333" i="1"/>
  <c r="G333" i="1"/>
  <c r="F332" i="1"/>
  <c r="G332" i="1"/>
  <c r="F331" i="1"/>
  <c r="G331" i="1"/>
  <c r="F330" i="1"/>
  <c r="G330" i="1"/>
  <c r="F329" i="1"/>
  <c r="G329" i="1"/>
  <c r="F328" i="1"/>
  <c r="G328" i="1"/>
  <c r="F327" i="1"/>
  <c r="G327" i="1"/>
  <c r="F326" i="1"/>
  <c r="G326" i="1"/>
  <c r="F325" i="1"/>
  <c r="G325" i="1"/>
  <c r="F324" i="1"/>
  <c r="G324" i="1"/>
  <c r="F323" i="1"/>
  <c r="G323" i="1"/>
  <c r="F322" i="1"/>
  <c r="G322" i="1"/>
  <c r="F321" i="1"/>
  <c r="G321" i="1"/>
  <c r="F320" i="1"/>
  <c r="G320" i="1"/>
  <c r="F319" i="1"/>
  <c r="G319" i="1"/>
  <c r="F318" i="1"/>
  <c r="G318" i="1"/>
  <c r="F317" i="1"/>
  <c r="G317" i="1"/>
  <c r="F316" i="1"/>
  <c r="G316" i="1"/>
  <c r="F315" i="1"/>
  <c r="G315" i="1"/>
  <c r="F314" i="1"/>
  <c r="G314" i="1"/>
  <c r="F313" i="1"/>
  <c r="G313" i="1"/>
  <c r="F312" i="1"/>
  <c r="G312" i="1"/>
  <c r="F311" i="1"/>
  <c r="G311" i="1"/>
  <c r="F310" i="1"/>
  <c r="G310" i="1"/>
  <c r="F309" i="1"/>
  <c r="G309" i="1"/>
  <c r="F308" i="1"/>
  <c r="G308" i="1"/>
  <c r="F307" i="1"/>
  <c r="G307" i="1"/>
  <c r="F306" i="1"/>
  <c r="G306" i="1"/>
  <c r="F305" i="1"/>
  <c r="G305" i="1"/>
  <c r="F304" i="1"/>
  <c r="G304" i="1"/>
  <c r="F303" i="1"/>
  <c r="G303" i="1"/>
  <c r="F302" i="1"/>
  <c r="G302" i="1"/>
  <c r="F301" i="1"/>
  <c r="G301" i="1"/>
  <c r="F300" i="1"/>
  <c r="G300" i="1"/>
  <c r="F299" i="1"/>
  <c r="G299" i="1"/>
  <c r="F298" i="1"/>
  <c r="G298" i="1"/>
  <c r="F297" i="1"/>
  <c r="G297" i="1"/>
  <c r="F296" i="1"/>
  <c r="G296" i="1"/>
  <c r="F295" i="1"/>
  <c r="G295" i="1"/>
  <c r="F294" i="1"/>
  <c r="G294" i="1"/>
  <c r="F293" i="1"/>
  <c r="G293" i="1"/>
  <c r="F292" i="1"/>
  <c r="G292" i="1"/>
  <c r="F291" i="1"/>
  <c r="G291" i="1"/>
  <c r="F290" i="1"/>
  <c r="G290" i="1"/>
  <c r="F289" i="1"/>
  <c r="G289" i="1"/>
  <c r="F288" i="1"/>
  <c r="G288" i="1"/>
  <c r="F287" i="1"/>
  <c r="G287" i="1"/>
  <c r="F286" i="1"/>
  <c r="G286" i="1"/>
  <c r="F285" i="1"/>
  <c r="G285" i="1"/>
  <c r="F284" i="1"/>
  <c r="G284" i="1"/>
  <c r="F283" i="1"/>
  <c r="G283" i="1"/>
  <c r="F282" i="1"/>
  <c r="G282" i="1"/>
  <c r="F281" i="1"/>
  <c r="G281" i="1"/>
  <c r="F280" i="1"/>
  <c r="G280" i="1"/>
  <c r="F279" i="1"/>
  <c r="G279" i="1"/>
  <c r="F278" i="1"/>
  <c r="G278" i="1"/>
  <c r="F277" i="1"/>
  <c r="G277" i="1"/>
  <c r="F276" i="1"/>
  <c r="G276" i="1"/>
  <c r="F275" i="1"/>
  <c r="G275" i="1"/>
  <c r="F274" i="1"/>
  <c r="G274" i="1"/>
  <c r="F273" i="1"/>
  <c r="G273" i="1"/>
  <c r="F272" i="1"/>
  <c r="G272" i="1"/>
  <c r="F271" i="1"/>
  <c r="G271" i="1"/>
  <c r="F270" i="1"/>
  <c r="G270" i="1"/>
  <c r="F269" i="1"/>
  <c r="G269" i="1"/>
  <c r="F268" i="1"/>
  <c r="G268" i="1"/>
  <c r="F267" i="1"/>
  <c r="G267" i="1"/>
  <c r="F266" i="1"/>
  <c r="G266" i="1"/>
  <c r="F265" i="1"/>
  <c r="G265" i="1"/>
  <c r="F264" i="1"/>
  <c r="G264" i="1"/>
  <c r="F263" i="1"/>
  <c r="G263" i="1"/>
  <c r="F262" i="1"/>
  <c r="G262" i="1"/>
  <c r="F261" i="1"/>
  <c r="G261" i="1"/>
  <c r="F260" i="1"/>
  <c r="G260" i="1"/>
  <c r="F259" i="1"/>
  <c r="G259" i="1"/>
  <c r="F258" i="1"/>
  <c r="G258" i="1"/>
  <c r="F257" i="1"/>
  <c r="G257" i="1"/>
  <c r="F256" i="1"/>
  <c r="G256" i="1"/>
  <c r="F255" i="1"/>
  <c r="G255" i="1"/>
  <c r="F254" i="1"/>
  <c r="G254" i="1"/>
  <c r="F253" i="1"/>
  <c r="G253" i="1"/>
  <c r="F252" i="1"/>
  <c r="G252" i="1"/>
  <c r="F251" i="1"/>
  <c r="G251" i="1"/>
  <c r="F250" i="1"/>
  <c r="G250" i="1"/>
  <c r="F249" i="1"/>
  <c r="G249" i="1"/>
  <c r="F248" i="1"/>
  <c r="G248" i="1"/>
  <c r="F247" i="1"/>
  <c r="G247" i="1"/>
  <c r="F246" i="1"/>
  <c r="G246" i="1"/>
  <c r="F245" i="1"/>
  <c r="G245" i="1"/>
  <c r="F244" i="1"/>
  <c r="G244" i="1"/>
  <c r="F243" i="1"/>
  <c r="G243" i="1"/>
  <c r="F242" i="1"/>
  <c r="G242" i="1"/>
  <c r="F241" i="1"/>
  <c r="G241" i="1"/>
  <c r="F240" i="1"/>
  <c r="G240" i="1"/>
  <c r="F239" i="1"/>
  <c r="G239" i="1"/>
  <c r="F238" i="1"/>
  <c r="G238" i="1"/>
  <c r="F237" i="1"/>
  <c r="G237" i="1"/>
  <c r="F236" i="1"/>
  <c r="G236" i="1"/>
  <c r="F235" i="1"/>
  <c r="G235" i="1"/>
  <c r="F234" i="1"/>
  <c r="G234" i="1"/>
  <c r="F233" i="1"/>
  <c r="G233" i="1"/>
  <c r="F232" i="1"/>
  <c r="G232" i="1"/>
  <c r="F231" i="1"/>
  <c r="G231" i="1"/>
  <c r="F230" i="1"/>
  <c r="G230" i="1"/>
  <c r="F229" i="1"/>
  <c r="G229" i="1"/>
  <c r="F228" i="1"/>
  <c r="G228" i="1"/>
  <c r="F227" i="1"/>
  <c r="G227" i="1"/>
  <c r="F226" i="1"/>
  <c r="G226" i="1"/>
  <c r="F225" i="1"/>
  <c r="G225" i="1"/>
  <c r="F224" i="1"/>
  <c r="G224" i="1"/>
  <c r="F223" i="1"/>
  <c r="G223" i="1"/>
  <c r="F222" i="1"/>
  <c r="G222" i="1"/>
  <c r="F221" i="1"/>
  <c r="G221" i="1"/>
  <c r="F220" i="1"/>
  <c r="G220" i="1"/>
  <c r="F219" i="1"/>
  <c r="G219" i="1"/>
  <c r="F218" i="1"/>
  <c r="G218" i="1"/>
  <c r="F217" i="1"/>
  <c r="G217" i="1"/>
  <c r="F216" i="1"/>
  <c r="G216" i="1"/>
  <c r="F215" i="1"/>
  <c r="G215" i="1"/>
  <c r="F214" i="1"/>
  <c r="G214" i="1"/>
  <c r="F213" i="1"/>
  <c r="G213" i="1"/>
  <c r="F212" i="1"/>
  <c r="G212" i="1"/>
  <c r="F211" i="1"/>
  <c r="G211" i="1"/>
  <c r="F210" i="1"/>
  <c r="G210" i="1"/>
  <c r="F209" i="1"/>
  <c r="G209" i="1"/>
  <c r="F208" i="1"/>
  <c r="G208" i="1"/>
  <c r="F207" i="1"/>
  <c r="G207" i="1"/>
  <c r="F206" i="1"/>
  <c r="G206" i="1"/>
  <c r="F205" i="1"/>
  <c r="G205" i="1"/>
  <c r="F204" i="1"/>
  <c r="G204" i="1"/>
  <c r="F203" i="1"/>
  <c r="G203" i="1"/>
  <c r="F202" i="1"/>
  <c r="G202" i="1"/>
  <c r="F201" i="1"/>
  <c r="G201" i="1"/>
  <c r="F200" i="1"/>
  <c r="G200" i="1"/>
  <c r="F199" i="1"/>
  <c r="G199" i="1"/>
  <c r="F198" i="1"/>
  <c r="G198" i="1"/>
  <c r="F197" i="1"/>
  <c r="G197" i="1"/>
  <c r="F196" i="1"/>
  <c r="G196" i="1"/>
  <c r="F195" i="1"/>
  <c r="G195" i="1"/>
  <c r="F194" i="1"/>
  <c r="G194" i="1"/>
  <c r="F193" i="1"/>
  <c r="G193" i="1"/>
  <c r="F192" i="1"/>
  <c r="G192" i="1"/>
  <c r="F191" i="1"/>
  <c r="G191" i="1"/>
  <c r="F190" i="1"/>
  <c r="G190" i="1"/>
  <c r="F189" i="1"/>
  <c r="G189" i="1"/>
  <c r="F188" i="1"/>
  <c r="G188" i="1"/>
  <c r="F187" i="1"/>
  <c r="G187" i="1"/>
  <c r="F186" i="1"/>
  <c r="G186" i="1"/>
  <c r="F185" i="1"/>
  <c r="G185" i="1"/>
  <c r="F184" i="1"/>
  <c r="G184" i="1"/>
  <c r="F183" i="1"/>
  <c r="G183" i="1"/>
  <c r="F182" i="1"/>
  <c r="G182" i="1"/>
  <c r="F181" i="1"/>
  <c r="G181" i="1"/>
  <c r="F180" i="1"/>
  <c r="G180" i="1"/>
  <c r="F179" i="1"/>
  <c r="G179" i="1"/>
  <c r="F178" i="1"/>
  <c r="G178" i="1"/>
  <c r="F177" i="1"/>
  <c r="G177" i="1"/>
  <c r="F176" i="1"/>
  <c r="G176" i="1"/>
  <c r="F175" i="1"/>
  <c r="G175" i="1"/>
  <c r="F174" i="1"/>
  <c r="G174" i="1"/>
  <c r="F173" i="1"/>
  <c r="G173" i="1"/>
  <c r="F172" i="1"/>
  <c r="G172" i="1"/>
  <c r="F171" i="1"/>
  <c r="G171" i="1"/>
  <c r="F170" i="1"/>
  <c r="G170" i="1"/>
  <c r="F169" i="1"/>
  <c r="G169" i="1"/>
  <c r="F168" i="1"/>
  <c r="G168" i="1"/>
  <c r="F167" i="1"/>
  <c r="G167" i="1"/>
  <c r="F166" i="1"/>
  <c r="G166" i="1"/>
  <c r="F165" i="1"/>
  <c r="G165" i="1"/>
  <c r="F164" i="1"/>
  <c r="G164" i="1"/>
  <c r="F163" i="1"/>
  <c r="G163" i="1"/>
  <c r="F162" i="1"/>
  <c r="G162" i="1"/>
  <c r="F161" i="1"/>
  <c r="G161" i="1"/>
  <c r="F160" i="1"/>
  <c r="G160" i="1"/>
  <c r="F159" i="1"/>
  <c r="G159" i="1"/>
  <c r="F158" i="1"/>
  <c r="G158" i="1"/>
  <c r="F157" i="1"/>
  <c r="G157" i="1"/>
  <c r="F156" i="1"/>
  <c r="G156" i="1"/>
  <c r="F155" i="1"/>
  <c r="G155" i="1"/>
  <c r="F154" i="1"/>
  <c r="G154" i="1"/>
  <c r="F153" i="1"/>
  <c r="G153" i="1"/>
  <c r="F152" i="1"/>
  <c r="G152" i="1"/>
  <c r="F151" i="1"/>
  <c r="G151" i="1"/>
  <c r="F150" i="1"/>
  <c r="G150" i="1"/>
  <c r="F149" i="1"/>
  <c r="G149" i="1"/>
  <c r="F148" i="1"/>
  <c r="G148" i="1"/>
  <c r="F147" i="1"/>
  <c r="G147" i="1"/>
  <c r="F146" i="1"/>
  <c r="G146" i="1"/>
  <c r="F145" i="1"/>
  <c r="G145" i="1"/>
  <c r="F144" i="1"/>
  <c r="G144" i="1"/>
  <c r="F143" i="1"/>
  <c r="G143" i="1"/>
  <c r="F142" i="1"/>
  <c r="G142" i="1"/>
  <c r="F141" i="1"/>
  <c r="G141" i="1"/>
  <c r="F140" i="1"/>
  <c r="G140" i="1"/>
  <c r="F139" i="1"/>
  <c r="G139" i="1"/>
  <c r="F138" i="1"/>
  <c r="G138" i="1"/>
  <c r="F137" i="1"/>
  <c r="G137" i="1"/>
  <c r="F136" i="1"/>
  <c r="G136" i="1"/>
  <c r="F135" i="1"/>
  <c r="G135" i="1"/>
  <c r="F134" i="1"/>
  <c r="G134" i="1"/>
  <c r="F133" i="1"/>
  <c r="G133" i="1"/>
  <c r="F132" i="1"/>
  <c r="G132" i="1"/>
  <c r="F131" i="1"/>
  <c r="G131" i="1"/>
  <c r="F130" i="1"/>
  <c r="G130" i="1"/>
  <c r="F129" i="1"/>
  <c r="G129" i="1"/>
  <c r="F128" i="1"/>
  <c r="G128" i="1"/>
  <c r="F127" i="1"/>
  <c r="G127" i="1"/>
  <c r="F126" i="1"/>
  <c r="G126" i="1"/>
  <c r="F125" i="1"/>
  <c r="G125" i="1"/>
  <c r="F124" i="1"/>
  <c r="G124" i="1"/>
  <c r="F123" i="1"/>
  <c r="G123" i="1"/>
  <c r="F122" i="1"/>
  <c r="G122" i="1"/>
  <c r="F121" i="1"/>
  <c r="G121" i="1"/>
  <c r="F120" i="1"/>
  <c r="G120" i="1"/>
  <c r="F119" i="1"/>
  <c r="G119" i="1"/>
  <c r="F118" i="1"/>
  <c r="G118" i="1"/>
  <c r="F117" i="1"/>
  <c r="G117" i="1"/>
  <c r="F116" i="1"/>
  <c r="G116" i="1"/>
  <c r="F115" i="1"/>
  <c r="G115" i="1"/>
  <c r="F114" i="1"/>
  <c r="G114" i="1"/>
  <c r="F113" i="1"/>
  <c r="G113" i="1"/>
  <c r="F112" i="1"/>
  <c r="G112" i="1"/>
  <c r="F111" i="1"/>
  <c r="G111" i="1"/>
  <c r="F110" i="1"/>
  <c r="G110" i="1"/>
  <c r="F109" i="1"/>
  <c r="G109" i="1"/>
  <c r="F108" i="1"/>
  <c r="G108" i="1"/>
  <c r="F107" i="1"/>
  <c r="G107" i="1"/>
  <c r="F106" i="1"/>
  <c r="G106" i="1"/>
  <c r="F105" i="1"/>
  <c r="G105" i="1"/>
  <c r="F104" i="1"/>
  <c r="G104" i="1"/>
  <c r="F103" i="1"/>
  <c r="G103" i="1"/>
  <c r="F102" i="1"/>
  <c r="G102" i="1"/>
  <c r="F101" i="1"/>
  <c r="G101" i="1"/>
  <c r="F100" i="1"/>
  <c r="G100" i="1"/>
  <c r="F99" i="1"/>
  <c r="G99" i="1"/>
  <c r="F98" i="1"/>
  <c r="G98" i="1"/>
  <c r="F97" i="1"/>
  <c r="G97" i="1"/>
  <c r="F96" i="1"/>
  <c r="G96" i="1"/>
  <c r="F95" i="1"/>
  <c r="G95" i="1"/>
  <c r="F94" i="1"/>
  <c r="G94" i="1"/>
  <c r="F93" i="1"/>
  <c r="G93" i="1"/>
  <c r="F92" i="1"/>
  <c r="G92" i="1"/>
  <c r="F91" i="1"/>
  <c r="G91" i="1"/>
  <c r="F90" i="1"/>
  <c r="G90" i="1"/>
  <c r="F89" i="1"/>
  <c r="G89" i="1"/>
  <c r="F88" i="1"/>
  <c r="G88" i="1"/>
  <c r="F87" i="1"/>
  <c r="G87" i="1"/>
  <c r="F86" i="1"/>
  <c r="G86" i="1"/>
  <c r="F85" i="1"/>
  <c r="G85" i="1"/>
  <c r="F84" i="1"/>
  <c r="G84" i="1"/>
  <c r="F83" i="1"/>
  <c r="G83" i="1"/>
  <c r="F82" i="1"/>
  <c r="G82" i="1"/>
  <c r="F81" i="1"/>
  <c r="G81" i="1"/>
  <c r="F80" i="1"/>
  <c r="G80" i="1"/>
  <c r="F79" i="1"/>
  <c r="G79" i="1"/>
  <c r="F78" i="1"/>
  <c r="G78" i="1"/>
  <c r="F77" i="1"/>
  <c r="G77" i="1"/>
  <c r="F76" i="1"/>
  <c r="G76" i="1"/>
  <c r="F75" i="1"/>
  <c r="G75" i="1"/>
  <c r="F74" i="1"/>
  <c r="G74" i="1"/>
  <c r="F73" i="1"/>
  <c r="G73" i="1"/>
  <c r="F72" i="1"/>
  <c r="G72" i="1"/>
  <c r="F71" i="1"/>
  <c r="G71" i="1"/>
  <c r="F70" i="1"/>
  <c r="G70" i="1"/>
  <c r="F69" i="1"/>
  <c r="G69" i="1"/>
  <c r="F68" i="1"/>
  <c r="G68" i="1"/>
  <c r="F67" i="1"/>
  <c r="G67" i="1"/>
  <c r="F66" i="1"/>
  <c r="G66" i="1"/>
  <c r="F65" i="1"/>
  <c r="G65" i="1"/>
  <c r="F64" i="1"/>
  <c r="G64" i="1"/>
  <c r="F63" i="1"/>
  <c r="G63" i="1"/>
  <c r="F62" i="1"/>
  <c r="G62" i="1"/>
  <c r="F61" i="1"/>
  <c r="G61" i="1"/>
  <c r="F60" i="1"/>
  <c r="G60" i="1"/>
  <c r="F59" i="1"/>
  <c r="G59" i="1"/>
  <c r="F58" i="1"/>
  <c r="G58" i="1"/>
  <c r="F57" i="1"/>
  <c r="G57" i="1"/>
  <c r="F56" i="1"/>
  <c r="G56" i="1"/>
  <c r="F55" i="1"/>
  <c r="G55" i="1"/>
  <c r="F54" i="1"/>
  <c r="G54" i="1"/>
  <c r="F53" i="1"/>
  <c r="G53" i="1"/>
  <c r="F52" i="1"/>
  <c r="G52" i="1"/>
  <c r="F51" i="1"/>
  <c r="G51" i="1"/>
  <c r="F50" i="1"/>
  <c r="G50" i="1"/>
  <c r="F49" i="1"/>
  <c r="G49" i="1"/>
  <c r="F48" i="1"/>
  <c r="G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F34" i="1"/>
  <c r="G34" i="1"/>
  <c r="F33" i="1"/>
  <c r="G33" i="1"/>
  <c r="F32" i="1"/>
  <c r="G32" i="1"/>
  <c r="F31" i="1"/>
  <c r="G31" i="1"/>
  <c r="F30" i="1"/>
  <c r="G30" i="1"/>
  <c r="F29" i="1"/>
  <c r="G29" i="1"/>
  <c r="F28" i="1"/>
  <c r="G28" i="1"/>
  <c r="F27" i="1"/>
  <c r="G27" i="1"/>
  <c r="F26" i="1"/>
  <c r="G26" i="1"/>
  <c r="F25" i="1"/>
  <c r="G25" i="1"/>
  <c r="F24" i="1"/>
  <c r="G24" i="1"/>
  <c r="F23" i="1"/>
  <c r="G23" i="1"/>
  <c r="F22" i="1"/>
  <c r="G22" i="1"/>
  <c r="F21" i="1"/>
  <c r="G21" i="1"/>
  <c r="F20" i="1"/>
  <c r="G20" i="1"/>
  <c r="F19" i="1"/>
  <c r="G19" i="1"/>
  <c r="F18" i="1"/>
  <c r="G18" i="1"/>
  <c r="F17" i="1"/>
  <c r="G17" i="1"/>
  <c r="F16" i="1"/>
  <c r="G16" i="1"/>
  <c r="F15" i="1"/>
  <c r="G15" i="1"/>
  <c r="F14" i="1"/>
  <c r="G14" i="1"/>
  <c r="F13" i="1"/>
  <c r="G13" i="1"/>
  <c r="F12" i="1"/>
  <c r="G12" i="1"/>
  <c r="F11" i="1"/>
  <c r="G11" i="1"/>
  <c r="F10" i="1"/>
  <c r="G10" i="1"/>
  <c r="F9" i="1"/>
  <c r="G9" i="1"/>
  <c r="F8" i="1"/>
  <c r="G8" i="1"/>
  <c r="F7" i="1"/>
  <c r="G7" i="1"/>
  <c r="F6" i="1"/>
  <c r="G6" i="1"/>
  <c r="F5" i="1"/>
  <c r="G5" i="1"/>
  <c r="F4" i="1"/>
  <c r="G4" i="1"/>
  <c r="F3" i="1"/>
  <c r="G3" i="1"/>
  <c r="F2" i="1"/>
  <c r="G2" i="1"/>
</calcChain>
</file>

<file path=xl/sharedStrings.xml><?xml version="1.0" encoding="utf-8"?>
<sst xmlns="http://schemas.openxmlformats.org/spreadsheetml/2006/main" count="2194" uniqueCount="625">
  <si>
    <t>StudyID</t>
  </si>
  <si>
    <t>Study Name</t>
  </si>
  <si>
    <t>Species</t>
  </si>
  <si>
    <t>LocNo</t>
  </si>
  <si>
    <t>RawMortRate</t>
  </si>
  <si>
    <t>PlotMeanMort</t>
  </si>
  <si>
    <t>RelMortRate</t>
  </si>
  <si>
    <t>Nindivs</t>
  </si>
  <si>
    <t>Location</t>
  </si>
  <si>
    <t>Condit et al., 1995</t>
  </si>
  <si>
    <t>Acalypha diversifolia</t>
  </si>
  <si>
    <t>Panama (Panama)</t>
  </si>
  <si>
    <t>Acalypha macrostachya</t>
  </si>
  <si>
    <t>Adelia triloba</t>
  </si>
  <si>
    <t>Aegiphila panamensis</t>
  </si>
  <si>
    <t>Alchornea costaricensis</t>
  </si>
  <si>
    <t>Alibertia edulis</t>
  </si>
  <si>
    <t>Allophyllus psilospermus</t>
  </si>
  <si>
    <t>Alseis blackiana</t>
  </si>
  <si>
    <t>Amaioua corymbos</t>
  </si>
  <si>
    <t>Anacardium excelsum</t>
  </si>
  <si>
    <t>Anaxagorea panamensis</t>
  </si>
  <si>
    <t>Andira inermis</t>
  </si>
  <si>
    <t>Annona acuminata</t>
  </si>
  <si>
    <t>Annona spraguei</t>
  </si>
  <si>
    <t>Apeiba membranacea</t>
  </si>
  <si>
    <t>Apeiba tibourbou</t>
  </si>
  <si>
    <t>Ardisia fendleri</t>
  </si>
  <si>
    <t>Aspidosperma cruenta</t>
  </si>
  <si>
    <t>Astrocaryum standleyanum</t>
  </si>
  <si>
    <t>Astronium graveolens</t>
  </si>
  <si>
    <t>Beilschmiedia pendula</t>
  </si>
  <si>
    <t>Brosimum alicastrum</t>
  </si>
  <si>
    <t>Calophyllum longifolium</t>
  </si>
  <si>
    <t>Capparis frondosa</t>
  </si>
  <si>
    <t>Casearia aculeata</t>
  </si>
  <si>
    <t>Casearia arborea</t>
  </si>
  <si>
    <t>Casearia sylvestris</t>
  </si>
  <si>
    <t>Cassipourea elliptica</t>
  </si>
  <si>
    <t>Cavanillesia platanifolia</t>
  </si>
  <si>
    <t>Cecropia insignis</t>
  </si>
  <si>
    <t>Cecropia obtusifoli</t>
  </si>
  <si>
    <t>Ceiba pentandra</t>
  </si>
  <si>
    <t>Celtis schippii</t>
  </si>
  <si>
    <t>Cestrum megalophyllum</t>
  </si>
  <si>
    <t>Chamaedorea tepejilote</t>
  </si>
  <si>
    <t>Chamguava schippi</t>
  </si>
  <si>
    <t>Chrysochiamys eclipes</t>
  </si>
  <si>
    <t>Chrysophyllum argenteum</t>
  </si>
  <si>
    <t>Chrysophyllum cainito</t>
  </si>
  <si>
    <t>Coccoloba coronata</t>
  </si>
  <si>
    <t>Coccoloba manzanillensis</t>
  </si>
  <si>
    <t>Conostegia cinnamomea</t>
  </si>
  <si>
    <t>Cordia alliodora</t>
  </si>
  <si>
    <t>Cordia bicolor</t>
  </si>
  <si>
    <t>Cordia lasiocalyx</t>
  </si>
  <si>
    <t>Coussarea curvigemmia</t>
  </si>
  <si>
    <t>Croton billbergianus</t>
  </si>
  <si>
    <t>Cupania latifolia</t>
  </si>
  <si>
    <t>Cupania rufescens</t>
  </si>
  <si>
    <t>Cupania sylvatica</t>
  </si>
  <si>
    <t>Dendropanax stenodontus</t>
  </si>
  <si>
    <t>Desmopsis panamensis</t>
  </si>
  <si>
    <t>Diospyros artanthifolia</t>
  </si>
  <si>
    <t>Dipteryx panamnensis</t>
  </si>
  <si>
    <t>Drypetes standleyi</t>
  </si>
  <si>
    <t>Elaeis oleifera</t>
  </si>
  <si>
    <t>Erythrina costaricensis</t>
  </si>
  <si>
    <t>Erythroxylum multifiorum</t>
  </si>
  <si>
    <t>Erythroxylum panamense</t>
  </si>
  <si>
    <t>Eugenia coloradensis</t>
  </si>
  <si>
    <t>Eugenia galalonensis</t>
  </si>
  <si>
    <t>Eugenia nesiotica</t>
  </si>
  <si>
    <t>Eugenia oerstedeana</t>
  </si>
  <si>
    <t>Faramea occidentalis</t>
  </si>
  <si>
    <t>Ficus tonduzii</t>
  </si>
  <si>
    <t>Garcinia intermedia</t>
  </si>
  <si>
    <t>Garcinia madruno</t>
  </si>
  <si>
    <t>Genipa americana</t>
  </si>
  <si>
    <t>Guapira standleyanum</t>
  </si>
  <si>
    <t>Guarea grandifolia</t>
  </si>
  <si>
    <t>Guarea guidonia</t>
  </si>
  <si>
    <t>Guarea sp. nov.</t>
  </si>
  <si>
    <t>Guatteria dumetorum</t>
  </si>
  <si>
    <t>Guazuma ulmifolia</t>
  </si>
  <si>
    <t>Guettarda foliacea</t>
  </si>
  <si>
    <t>Gustavia superba</t>
  </si>
  <si>
    <t>Hamelia axillaris</t>
  </si>
  <si>
    <t>Hampea appendiculata</t>
  </si>
  <si>
    <t>Hasseltia floribunda</t>
  </si>
  <si>
    <t>Heisteria acuminata</t>
  </si>
  <si>
    <t>Heisteria concinna</t>
  </si>
  <si>
    <t>Herrania purpurea</t>
  </si>
  <si>
    <t>Hirtella americana</t>
  </si>
  <si>
    <t>Hirtella triandra</t>
  </si>
  <si>
    <t>Hura crepitans</t>
  </si>
  <si>
    <t>Hybanthus prunifolius</t>
  </si>
  <si>
    <t>Hyeronima alcheornoides</t>
  </si>
  <si>
    <t>Inga cocleensis</t>
  </si>
  <si>
    <t>Inga fagifolia</t>
  </si>
  <si>
    <t>Inga goldmanii</t>
  </si>
  <si>
    <t>Inga marginata</t>
  </si>
  <si>
    <t>Inga pezizifera</t>
  </si>
  <si>
    <t>Inga quaternata</t>
  </si>
  <si>
    <t>Inga ruiziana</t>
  </si>
  <si>
    <t>Inga sapindoides</t>
  </si>
  <si>
    <t>Inga sp. nov</t>
  </si>
  <si>
    <t>Inga umbellifera</t>
  </si>
  <si>
    <t>Jacaranda copaia</t>
  </si>
  <si>
    <t>Lacistema aggregatum</t>
  </si>
  <si>
    <t>Lacmellea panamensis</t>
  </si>
  <si>
    <t>Laetia thamnia</t>
  </si>
  <si>
    <t>Licania hypoleuca</t>
  </si>
  <si>
    <t>Licania platypus</t>
  </si>
  <si>
    <t>Lindackeria laurina</t>
  </si>
  <si>
    <t>Lonchocarpus latifolia</t>
  </si>
  <si>
    <t>Luehea seemannii</t>
  </si>
  <si>
    <t>Macrocnemum glabrescens</t>
  </si>
  <si>
    <t>Malmea sp. nov.</t>
  </si>
  <si>
    <t>Malpighia romeroana</t>
  </si>
  <si>
    <t>Maquira costaricana</t>
  </si>
  <si>
    <t>Maytenus schippii</t>
  </si>
  <si>
    <t>Miconia affinis</t>
  </si>
  <si>
    <t>Miconia argentea</t>
  </si>
  <si>
    <t>Miconia elata</t>
  </si>
  <si>
    <t>Miconia hondurensis</t>
  </si>
  <si>
    <t>Miconia nervosa</t>
  </si>
  <si>
    <t>Mouriri myrtilloides</t>
  </si>
  <si>
    <t>Myrcia gatunensis</t>
  </si>
  <si>
    <t>Nectandra cissifiora</t>
  </si>
  <si>
    <t>Nectandra globosa</t>
  </si>
  <si>
    <t>Nectandra purpurea</t>
  </si>
  <si>
    <t>Neea amplifolia</t>
  </si>
  <si>
    <t>Ocotea cernua</t>
  </si>
  <si>
    <t>Ocotea oblonga</t>
  </si>
  <si>
    <t>Ocotea puberula</t>
  </si>
  <si>
    <t>Ocotea whitei</t>
  </si>
  <si>
    <t>Oenocarpus mapoura</t>
  </si>
  <si>
    <t>Olmedia aspera</t>
  </si>
  <si>
    <t>Ormosia croatii</t>
  </si>
  <si>
    <t>Ouratea lucens</t>
  </si>
  <si>
    <t>Palicourea guianensis</t>
  </si>
  <si>
    <t>Pentagonia macrophylla</t>
  </si>
  <si>
    <t>Perebea xanthochyma</t>
  </si>
  <si>
    <t>Phoebe cinnamomifolia</t>
  </si>
  <si>
    <t>Picramnia latifolia</t>
  </si>
  <si>
    <t>Piper aequale</t>
  </si>
  <si>
    <t>Piper arboreum</t>
  </si>
  <si>
    <t>Piper cordulatum</t>
  </si>
  <si>
    <t>Piper culebranum</t>
  </si>
  <si>
    <t>Piper perlasense</t>
  </si>
  <si>
    <t>Piper reticulatum</t>
  </si>
  <si>
    <t>Platymiscium pinnatum</t>
  </si>
  <si>
    <t>Platypodium elegans</t>
  </si>
  <si>
    <t>Posoqueria latifolia</t>
  </si>
  <si>
    <t>Poulsenia armata</t>
  </si>
  <si>
    <t>Pourouma bicolor</t>
  </si>
  <si>
    <t>Pouteria reticulata</t>
  </si>
  <si>
    <t>Pouteria stipitata</t>
  </si>
  <si>
    <t>Prioria copaifera</t>
  </si>
  <si>
    <t>Protium costaricense</t>
  </si>
  <si>
    <t>Protium panamense</t>
  </si>
  <si>
    <t>Protium tenuifolium</t>
  </si>
  <si>
    <t>Psidium</t>
  </si>
  <si>
    <t>Psychotria deflexa</t>
  </si>
  <si>
    <t>Psychotria grandis</t>
  </si>
  <si>
    <t>Psychotria horizontalis</t>
  </si>
  <si>
    <t>Psychotria marginata</t>
  </si>
  <si>
    <t>Pterocarpus rohrii</t>
  </si>
  <si>
    <t>Quararibea asterolepis</t>
  </si>
  <si>
    <t>Quassia amara</t>
  </si>
  <si>
    <t>Randia armata</t>
  </si>
  <si>
    <t>Rinorea sylvatica</t>
  </si>
  <si>
    <t>Sapium aucuparium</t>
  </si>
  <si>
    <t>Scheelea zonensis</t>
  </si>
  <si>
    <t>Senna dariensis</t>
  </si>
  <si>
    <t>Simarouba amara</t>
  </si>
  <si>
    <t>Siparuna paucifiora</t>
  </si>
  <si>
    <t>Sloanea ternifiora</t>
  </si>
  <si>
    <t>Socratea exorrhiza</t>
  </si>
  <si>
    <t>Solanum hayesii</t>
  </si>
  <si>
    <t>Sorocea affinis</t>
  </si>
  <si>
    <t>Spondias mombin</t>
  </si>
  <si>
    <t>Spondias radlkoferi</t>
  </si>
  <si>
    <t>Sterculia apetala</t>
  </si>
  <si>
    <t>Stylogyne standleyi</t>
  </si>
  <si>
    <t>Swartzia simplex var. grandifolia</t>
  </si>
  <si>
    <t>Swartzia simplex var. ochnacea</t>
  </si>
  <si>
    <t>Symphonia globulifera</t>
  </si>
  <si>
    <t>Tabebuia guayacan</t>
  </si>
  <si>
    <t>Tabebuia rosea</t>
  </si>
  <si>
    <t>Tabernaemontana arborea</t>
  </si>
  <si>
    <t>Tachigalia versicolor</t>
  </si>
  <si>
    <t>Talisia nervosa</t>
  </si>
  <si>
    <t>Talisia princeps</t>
  </si>
  <si>
    <t>Terminalia amazonica</t>
  </si>
  <si>
    <t>Terminalia oblonga</t>
  </si>
  <si>
    <t>Tetragastris panamensis</t>
  </si>
  <si>
    <t>Thevetia ahouai</t>
  </si>
  <si>
    <t>Trattinickinia aspera</t>
  </si>
  <si>
    <t>Trichilia pallida</t>
  </si>
  <si>
    <t>Trichilia tuberculata</t>
  </si>
  <si>
    <t>Triplaris cumingiana</t>
  </si>
  <si>
    <t>Trophis racemosa</t>
  </si>
  <si>
    <t>Turpinia occidentalis</t>
  </si>
  <si>
    <t>Unonopsis pittieri</t>
  </si>
  <si>
    <t>Virola sebifera</t>
  </si>
  <si>
    <t>Virola sp. nov.</t>
  </si>
  <si>
    <t>Virola surinamensis</t>
  </si>
  <si>
    <t>Vismia baccifera</t>
  </si>
  <si>
    <t>Xylopia macrantha</t>
  </si>
  <si>
    <t>Xylosma oligandrum</t>
  </si>
  <si>
    <t>Zanthoxylum belizense</t>
  </si>
  <si>
    <t>Zanthoxylum panamense</t>
  </si>
  <si>
    <t>Zanthoxylum procerum</t>
  </si>
  <si>
    <t>Zuelania guidonia</t>
  </si>
  <si>
    <t>Suarez and Kitzberger 2008</t>
  </si>
  <si>
    <t>Austrocedrus chilensis</t>
  </si>
  <si>
    <t>Argentina, Patagonia</t>
  </si>
  <si>
    <t>Low mortality plots (n=14)</t>
  </si>
  <si>
    <t>Nothofagus dombeyi</t>
  </si>
  <si>
    <t>High mortality plots (n=20); N indivis assumed to be equal to median across studies</t>
  </si>
  <si>
    <t>Faber-Langendoen and Tester 1993</t>
  </si>
  <si>
    <r>
      <rPr>
        <i/>
        <sz val="12"/>
        <color theme="1"/>
        <rFont val="Calibri (Body)"/>
      </rPr>
      <t>Quercus ellipsoidalis</t>
    </r>
  </si>
  <si>
    <t>Minnesota, USA</t>
  </si>
  <si>
    <t>Quercus macrocarpa</t>
  </si>
  <si>
    <t>Gitlin et al. 2005</t>
  </si>
  <si>
    <t>Pinus edulis</t>
  </si>
  <si>
    <t>Arizona, USA</t>
  </si>
  <si>
    <t>Juniperus monosperma</t>
  </si>
  <si>
    <t>Populus tremuloides</t>
  </si>
  <si>
    <t>Pinus ponderosa</t>
  </si>
  <si>
    <t>Used regional mortality numbers from Fig 1</t>
  </si>
  <si>
    <t>Arctostaphylos pungens</t>
  </si>
  <si>
    <t xml:space="preserve">Populus fremontii </t>
  </si>
  <si>
    <t>Olano and Palmer 2003</t>
  </si>
  <si>
    <r>
      <t>Acer saccharum</t>
    </r>
    <r>
      <rPr>
        <sz val="12"/>
        <color theme="1"/>
        <rFont val="Calibri (Body)"/>
      </rPr>
      <t>, &gt;40 cm dbh</t>
    </r>
  </si>
  <si>
    <t>North Carolina, USA</t>
  </si>
  <si>
    <r>
      <t>Acer saccharum</t>
    </r>
    <r>
      <rPr>
        <sz val="12"/>
        <color theme="1"/>
        <rFont val="Calibri (Body)"/>
      </rPr>
      <t>, 10-20 cm dbh</t>
    </r>
  </si>
  <si>
    <r>
      <t>Acer saccharum</t>
    </r>
    <r>
      <rPr>
        <sz val="12"/>
        <color theme="1"/>
        <rFont val="Calibri (Body)"/>
      </rPr>
      <t>, 20-40 cm dbh</t>
    </r>
  </si>
  <si>
    <r>
      <t>Acer saccharum</t>
    </r>
    <r>
      <rPr>
        <sz val="12"/>
        <color theme="1"/>
        <rFont val="Calibri (Body)"/>
      </rPr>
      <t>, 5-10 cm dbh</t>
    </r>
  </si>
  <si>
    <r>
      <t>Aesculus flava</t>
    </r>
    <r>
      <rPr>
        <sz val="12"/>
        <color theme="1"/>
        <rFont val="Calibri (Body)"/>
      </rPr>
      <t>, &gt;40 cm dbh</t>
    </r>
  </si>
  <si>
    <r>
      <t>Aesculus flava</t>
    </r>
    <r>
      <rPr>
        <sz val="12"/>
        <color theme="1"/>
        <rFont val="Calibri (Body)"/>
      </rPr>
      <t>, 10-20 cm dbh</t>
    </r>
  </si>
  <si>
    <r>
      <t>Aesculus flava</t>
    </r>
    <r>
      <rPr>
        <sz val="12"/>
        <color theme="1"/>
        <rFont val="Calibri (Body)"/>
      </rPr>
      <t>, 20-40 cm dbh</t>
    </r>
  </si>
  <si>
    <r>
      <t>Aesculus flava</t>
    </r>
    <r>
      <rPr>
        <sz val="12"/>
        <color theme="1"/>
        <rFont val="Calibri (Body)"/>
      </rPr>
      <t>, 5-10 cm dbh</t>
    </r>
  </si>
  <si>
    <r>
      <t>Fagus grandifolia</t>
    </r>
    <r>
      <rPr>
        <sz val="12"/>
        <color theme="1"/>
        <rFont val="Calibri (Body)"/>
      </rPr>
      <t>, &gt;40 cm dbh</t>
    </r>
  </si>
  <si>
    <r>
      <t>Fagus grandifolia</t>
    </r>
    <r>
      <rPr>
        <sz val="12"/>
        <color theme="1"/>
        <rFont val="Calibri (Body)"/>
      </rPr>
      <t>, 10-20 cm dbh</t>
    </r>
  </si>
  <si>
    <r>
      <t>Fagus grandifolia</t>
    </r>
    <r>
      <rPr>
        <sz val="12"/>
        <color theme="1"/>
        <rFont val="Calibri (Body)"/>
      </rPr>
      <t>, 20-40 cm dbh</t>
    </r>
  </si>
  <si>
    <r>
      <t>Fagus grandifolia</t>
    </r>
    <r>
      <rPr>
        <sz val="12"/>
        <color theme="1"/>
        <rFont val="Calibri (Body)"/>
      </rPr>
      <t>, 5-10 cm dbh</t>
    </r>
  </si>
  <si>
    <r>
      <t>Tilia americana</t>
    </r>
    <r>
      <rPr>
        <sz val="12"/>
        <color theme="1"/>
        <rFont val="Calibri (Body)"/>
      </rPr>
      <t>, &gt;40 cm dbh</t>
    </r>
  </si>
  <si>
    <r>
      <t>Tilia americana</t>
    </r>
    <r>
      <rPr>
        <sz val="12"/>
        <color theme="1"/>
        <rFont val="Calibri (Body)"/>
      </rPr>
      <t>, 10-20 cm dbh</t>
    </r>
  </si>
  <si>
    <r>
      <t>Tilia americana</t>
    </r>
    <r>
      <rPr>
        <sz val="12"/>
        <color theme="1"/>
        <rFont val="Calibri (Body)"/>
      </rPr>
      <t>, 20-40 cm dbh</t>
    </r>
  </si>
  <si>
    <r>
      <t>Tilia americana</t>
    </r>
    <r>
      <rPr>
        <sz val="12"/>
        <color theme="1"/>
        <rFont val="Calibri (Body)"/>
      </rPr>
      <t>, 5-10 cm dbh</t>
    </r>
  </si>
  <si>
    <t>Stringer et al. 1989</t>
  </si>
  <si>
    <t>Quercus velutina</t>
  </si>
  <si>
    <t>Kentucky, USA</t>
  </si>
  <si>
    <t>N indivis assumed to be 20 individuals x numebr of plots each spp was found in</t>
  </si>
  <si>
    <t>Quercus coccinea</t>
  </si>
  <si>
    <t>Quercus prinus</t>
  </si>
  <si>
    <t>Quercus alba</t>
  </si>
  <si>
    <t>Fagus grandifolia</t>
  </si>
  <si>
    <t>Kukowski et al. 2012</t>
  </si>
  <si>
    <t>Berberis trifoliata</t>
  </si>
  <si>
    <t>Texas, USA</t>
  </si>
  <si>
    <t>Juniperus ashei</t>
  </si>
  <si>
    <t>Quercus fusiformis</t>
  </si>
  <si>
    <t>Ulmus crassifolia</t>
  </si>
  <si>
    <t>Floyd et al. 2009</t>
  </si>
  <si>
    <t>Colorado, USA</t>
  </si>
  <si>
    <t>New Mexico, USA</t>
  </si>
  <si>
    <t>Klos et al. 2009</t>
  </si>
  <si>
    <t>Mesophyte species group, drought class 3</t>
  </si>
  <si>
    <t>Alabama/Georgia/Virginia, USA</t>
  </si>
  <si>
    <t>Oak species group, drought class 3</t>
  </si>
  <si>
    <t>Pine species group, drought class 3</t>
  </si>
  <si>
    <t>Using Palmer drought severity index (PDSI)</t>
  </si>
  <si>
    <t>Mesophyte species group, drought class 4</t>
  </si>
  <si>
    <t>Oak species group, drought class 4</t>
  </si>
  <si>
    <t>Pine species group, drought class 4</t>
  </si>
  <si>
    <t>Viljoen (1995)</t>
    <phoneticPr fontId="0" type="noConversion"/>
  </si>
  <si>
    <t>Acacia nigrescens</t>
    <phoneticPr fontId="0" type="noConversion"/>
  </si>
  <si>
    <t>Hou1</t>
    <phoneticPr fontId="0" type="noConversion"/>
  </si>
  <si>
    <t>Dichrostachys cinerea</t>
    <phoneticPr fontId="0" type="noConversion"/>
  </si>
  <si>
    <t>Colophospermum mopane</t>
    <phoneticPr fontId="0" type="noConversion"/>
  </si>
  <si>
    <t>Hou2</t>
    <phoneticPr fontId="0" type="noConversion"/>
  </si>
  <si>
    <t>N indivs not presented for ~20% of spp, assumed to be average of other spp indivs (59 indivis)</t>
  </si>
  <si>
    <t>Hou3</t>
    <phoneticPr fontId="0" type="noConversion"/>
  </si>
  <si>
    <t>Terminalia sericea</t>
  </si>
  <si>
    <t>Kfi1</t>
    <phoneticPr fontId="0" type="noConversion"/>
  </si>
  <si>
    <t>Strychnos madagascariensis</t>
  </si>
  <si>
    <t>Kfi2</t>
    <phoneticPr fontId="0" type="noConversion"/>
  </si>
  <si>
    <t>Combretum hereroense</t>
  </si>
  <si>
    <t>Kfl3</t>
    <phoneticPr fontId="0" type="noConversion"/>
  </si>
  <si>
    <t>Acacia tortilis</t>
    <phoneticPr fontId="0" type="noConversion"/>
  </si>
  <si>
    <t>Kro1</t>
    <phoneticPr fontId="0" type="noConversion"/>
  </si>
  <si>
    <t>Acacia xanthophloea</t>
    <phoneticPr fontId="0" type="noConversion"/>
  </si>
  <si>
    <t>Let1</t>
    <phoneticPr fontId="0" type="noConversion"/>
  </si>
  <si>
    <t>Kruger National Park, South Africa</t>
    <phoneticPr fontId="0" type="noConversion"/>
  </si>
  <si>
    <t>Euclea divinorum</t>
  </si>
  <si>
    <t>Mah1</t>
    <phoneticPr fontId="0" type="noConversion"/>
  </si>
  <si>
    <t>Acacia xanthophloea</t>
  </si>
  <si>
    <t>Nwa1</t>
    <phoneticPr fontId="0" type="noConversion"/>
  </si>
  <si>
    <t>Ficus sycomorus</t>
    <phoneticPr fontId="0" type="noConversion"/>
  </si>
  <si>
    <t>Spirostachys africana</t>
  </si>
  <si>
    <t>Diospyros mespiliformis</t>
  </si>
  <si>
    <t>Nwa2</t>
    <phoneticPr fontId="0" type="noConversion"/>
  </si>
  <si>
    <t>Lonchocarpus capassa</t>
    <phoneticPr fontId="0" type="noConversion"/>
  </si>
  <si>
    <t>Terminalia prunioides</t>
  </si>
  <si>
    <t>Oli2</t>
    <phoneticPr fontId="0" type="noConversion"/>
  </si>
  <si>
    <t>Albizia harveyi</t>
  </si>
  <si>
    <t>Osa1</t>
    <phoneticPr fontId="0" type="noConversion"/>
  </si>
  <si>
    <t>Dichrostachys cinerea</t>
  </si>
  <si>
    <t>Osa3</t>
    <phoneticPr fontId="0" type="noConversion"/>
  </si>
  <si>
    <t>Lonchocarpus capassa</t>
  </si>
  <si>
    <t>Osa4</t>
    <phoneticPr fontId="0" type="noConversion"/>
  </si>
  <si>
    <t>Pterocarpus angolensis</t>
  </si>
  <si>
    <t>Pre1</t>
    <phoneticPr fontId="0" type="noConversion"/>
  </si>
  <si>
    <t>Pterocarpus angolensis</t>
    <phoneticPr fontId="0" type="noConversion"/>
  </si>
  <si>
    <t>Pre2</t>
    <phoneticPr fontId="0" type="noConversion"/>
  </si>
  <si>
    <t>Tsh1</t>
    <phoneticPr fontId="0" type="noConversion"/>
  </si>
  <si>
    <t>Sclerocarya birrea</t>
  </si>
  <si>
    <t>Terminalia sericea</t>
    <phoneticPr fontId="0" type="noConversion"/>
  </si>
  <si>
    <t>Tsh2</t>
    <phoneticPr fontId="0" type="noConversion"/>
  </si>
  <si>
    <t>Tsh3</t>
    <phoneticPr fontId="0" type="noConversion"/>
  </si>
  <si>
    <t>Tsh4</t>
    <phoneticPr fontId="0" type="noConversion"/>
  </si>
  <si>
    <t>O'Connor (1999)</t>
    <phoneticPr fontId="0" type="noConversion"/>
  </si>
  <si>
    <t xml:space="preserve">Boscia foetida </t>
  </si>
  <si>
    <t>N indivs not reported, taken as median across studies for all species</t>
  </si>
  <si>
    <t xml:space="preserve">Colophospermum mopane </t>
  </si>
  <si>
    <t>Northern Province, South Africa</t>
    <phoneticPr fontId="0" type="noConversion"/>
  </si>
  <si>
    <t xml:space="preserve">Combretum apiculatum </t>
  </si>
  <si>
    <t xml:space="preserve">Commiphora mollis </t>
  </si>
  <si>
    <t xml:space="preserve">Dichrostachys cinérea </t>
  </si>
  <si>
    <t xml:space="preserve">Terminalia prunioides </t>
  </si>
  <si>
    <t xml:space="preserve">Ximenia americana </t>
  </si>
  <si>
    <t>Lwanga (2003)</t>
    <phoneticPr fontId="0" type="noConversion"/>
  </si>
  <si>
    <t xml:space="preserve">Aeglopsis eggelingii </t>
  </si>
  <si>
    <t xml:space="preserve">Ngogo study site,  Kibale National Park, Uganda </t>
  </si>
  <si>
    <t xml:space="preserve">Albizia grandibracteata </t>
  </si>
  <si>
    <t xml:space="preserve">Aphania senegalensis </t>
  </si>
  <si>
    <t xml:space="preserve">Cassipourea ruwensorensis </t>
  </si>
  <si>
    <t xml:space="preserve">Celtis africana </t>
  </si>
  <si>
    <t xml:space="preserve">Celtis durandii </t>
  </si>
  <si>
    <t xml:space="preserve">Chaetacme aristata </t>
  </si>
  <si>
    <t xml:space="preserve">Chrysophyllum albidum </t>
  </si>
  <si>
    <t xml:space="preserve">Conopharyngia holstii </t>
  </si>
  <si>
    <t xml:space="preserve">Dasylepis eggelingii </t>
  </si>
  <si>
    <t xml:space="preserve">Diospyros abyssinica </t>
  </si>
  <si>
    <t xml:space="preserve">Dombeya mukole </t>
  </si>
  <si>
    <t xml:space="preserve">Elaeodendron buchananii </t>
  </si>
  <si>
    <t xml:space="preserve">Ficus natalensis </t>
  </si>
  <si>
    <t xml:space="preserve">Fluegea virosa </t>
  </si>
  <si>
    <t xml:space="preserve">Harrisonia abyssinica </t>
  </si>
  <si>
    <t xml:space="preserve">Lovoa swynnertonii </t>
  </si>
  <si>
    <t xml:space="preserve">Markhamia platycalyx </t>
  </si>
  <si>
    <t xml:space="preserve">Millettia dura </t>
  </si>
  <si>
    <t xml:space="preserve">Mimusops bagshawei </t>
  </si>
  <si>
    <t xml:space="preserve">Pleiocarpa pycnatha </t>
  </si>
  <si>
    <t xml:space="preserve">Pterygota mildbraedii </t>
  </si>
  <si>
    <t xml:space="preserve">Rothimania urcelliformi </t>
  </si>
  <si>
    <t xml:space="preserve">Teclea nobilis </t>
  </si>
  <si>
    <t xml:space="preserve">Uvariopsis congensis </t>
  </si>
  <si>
    <t xml:space="preserve">Vangueria apiculata </t>
  </si>
  <si>
    <t xml:space="preserve">Warburgia ugandensis </t>
  </si>
  <si>
    <t>van Nieuwstadt (2005)</t>
  </si>
  <si>
    <r>
      <t>Artocarpus anisophyllus</t>
    </r>
    <r>
      <rPr>
        <i/>
        <sz val="8"/>
        <color theme="1"/>
        <rFont val="TimesNRMT"/>
        <family val="1"/>
      </rPr>
      <t/>
    </r>
  </si>
  <si>
    <t xml:space="preserve">East Kalimantan, Indonesia </t>
  </si>
  <si>
    <t>Dipterocarpus confertus</t>
  </si>
  <si>
    <t xml:space="preserve">Dipterocarpus cornutus </t>
  </si>
  <si>
    <t>Drypetes kikir</t>
  </si>
  <si>
    <r>
      <t xml:space="preserve">Eusideroxylon zwageri </t>
    </r>
    <r>
      <rPr>
        <i/>
        <sz val="8"/>
        <color theme="1"/>
        <rFont val="TimesNRMT"/>
        <family val="1"/>
      </rPr>
      <t/>
    </r>
  </si>
  <si>
    <t>Gironniera nervosa</t>
  </si>
  <si>
    <r>
      <t>Koompasia malacensis</t>
    </r>
    <r>
      <rPr>
        <i/>
        <sz val="8"/>
        <color theme="1"/>
        <rFont val="TimesNRMT"/>
        <family val="1"/>
      </rPr>
      <t/>
    </r>
  </si>
  <si>
    <t xml:space="preserve">Madhuca kingiana </t>
    <phoneticPr fontId="0" type="noConversion"/>
  </si>
  <si>
    <t xml:space="preserve">Shorea laevis </t>
  </si>
  <si>
    <t>Shorea ovalis</t>
    <phoneticPr fontId="0" type="noConversion"/>
  </si>
  <si>
    <t>Potts (2003)</t>
    <phoneticPr fontId="0" type="noConversion"/>
  </si>
  <si>
    <t xml:space="preserve">Anacardiaceae </t>
  </si>
  <si>
    <t xml:space="preserve">Lambir Hills National Park, Sarawak, Malaysia </t>
  </si>
  <si>
    <t xml:space="preserve">Annonaceae </t>
  </si>
  <si>
    <t xml:space="preserve">Burseraceae </t>
  </si>
  <si>
    <t xml:space="preserve">Dipterocarpaceae </t>
  </si>
  <si>
    <t xml:space="preserve">Euphorbiaceae </t>
  </si>
  <si>
    <t xml:space="preserve">Lauraceae </t>
  </si>
  <si>
    <t xml:space="preserve">Moraceae </t>
  </si>
  <si>
    <t xml:space="preserve">Myristicaceae </t>
  </si>
  <si>
    <t xml:space="preserve">Myrtaceae </t>
  </si>
  <si>
    <t xml:space="preserve">Rubiaceae </t>
  </si>
  <si>
    <t>Nakagawa (2000)</t>
    <phoneticPr fontId="0" type="noConversion"/>
  </si>
  <si>
    <t xml:space="preserve">Euphorbiaceae </t>
    <phoneticPr fontId="0" type="noConversion"/>
  </si>
  <si>
    <t xml:space="preserve">Sapotaceae </t>
  </si>
  <si>
    <t xml:space="preserve">Tiliaceae </t>
  </si>
  <si>
    <t>Newberry and Lingenfelder (2009)</t>
    <phoneticPr fontId="0" type="noConversion"/>
  </si>
  <si>
    <t xml:space="preserve">Alangium javanicum </t>
  </si>
  <si>
    <t>Danum Valley, Sabah, Malaysia</t>
    <phoneticPr fontId="0" type="noConversion"/>
  </si>
  <si>
    <t xml:space="preserve">Antidesma neurocarpum </t>
  </si>
  <si>
    <t xml:space="preserve">Aporosa falcifera </t>
  </si>
  <si>
    <t xml:space="preserve">Ardisia sanguinolenta </t>
  </si>
  <si>
    <t xml:space="preserve">Baccaurea tetrandra </t>
  </si>
  <si>
    <t xml:space="preserve">Barringtonia lanceolata </t>
  </si>
  <si>
    <t xml:space="preserve">Chisocheton sarawakanus </t>
  </si>
  <si>
    <t xml:space="preserve">Cleistanthus contractus </t>
  </si>
  <si>
    <t xml:space="preserve">Dacryodes rostrata </t>
  </si>
  <si>
    <t xml:space="preserve">Dimorphocalyx muricatus </t>
  </si>
  <si>
    <t xml:space="preserve">Dysoxylum cyrtobotryum </t>
  </si>
  <si>
    <t xml:space="preserve">Fordia splendidissima </t>
  </si>
  <si>
    <t xml:space="preserve">Gonystylus keithii </t>
  </si>
  <si>
    <t xml:space="preserve">Knema latericia </t>
  </si>
  <si>
    <t xml:space="preserve">Lithocarpus nieuwenhuisii </t>
  </si>
  <si>
    <t xml:space="preserve">Litsea caulocarpa </t>
  </si>
  <si>
    <t xml:space="preserve">Litsea ochracea </t>
  </si>
  <si>
    <t xml:space="preserve">Lophopetalum beccarianum </t>
  </si>
  <si>
    <t xml:space="preserve">Madhuca korthalsii </t>
  </si>
  <si>
    <t xml:space="preserve">Mallotus penangensis </t>
  </si>
  <si>
    <t xml:space="preserve">Mallotus wrayi </t>
  </si>
  <si>
    <t xml:space="preserve">Maschalocorymbus corymbosus </t>
  </si>
  <si>
    <t xml:space="preserve">Parashorea malaanonan </t>
  </si>
  <si>
    <t xml:space="preserve">Pentace laxiflora </t>
  </si>
  <si>
    <t xml:space="preserve">Polyalthia cauliflora </t>
  </si>
  <si>
    <t xml:space="preserve">Polyalthia rumphii </t>
  </si>
  <si>
    <t xml:space="preserve">Polyalthia sumatrana </t>
  </si>
  <si>
    <t xml:space="preserve">Polyalthia xanthopetala </t>
  </si>
  <si>
    <t xml:space="preserve">Reinwardtiodendron humile </t>
  </si>
  <si>
    <t xml:space="preserve">Shorea fallax </t>
  </si>
  <si>
    <t xml:space="preserve">Shorea johorensis </t>
  </si>
  <si>
    <t xml:space="preserve">Shorea parvifolia </t>
  </si>
  <si>
    <t xml:space="preserve">Syzygium elopurae </t>
  </si>
  <si>
    <t xml:space="preserve">Syzygium tawaense </t>
  </si>
  <si>
    <t>Fensham and Holman (1999)</t>
    <phoneticPr fontId="0" type="noConversion"/>
  </si>
  <si>
    <t>Acacia argyrodendron</t>
    <phoneticPr fontId="0" type="noConversion"/>
  </si>
  <si>
    <t>North Queensland, Australia</t>
    <phoneticPr fontId="0" type="noConversion"/>
  </si>
  <si>
    <t>Acacia cambagei</t>
    <phoneticPr fontId="0" type="noConversion"/>
  </si>
  <si>
    <t xml:space="preserve">Acacia coriacea </t>
  </si>
  <si>
    <t>Acacia excelsa</t>
    <phoneticPr fontId="0" type="noConversion"/>
  </si>
  <si>
    <t>Acacia spp.</t>
    <phoneticPr fontId="0" type="noConversion"/>
  </si>
  <si>
    <t>Allocasuarina/Casuarina spp.</t>
    <phoneticPr fontId="0" type="noConversion"/>
  </si>
  <si>
    <t>Atalaya hemiglauca</t>
    <phoneticPr fontId="0" type="noConversion"/>
  </si>
  <si>
    <t>Bursaria incana</t>
    <phoneticPr fontId="0" type="noConversion"/>
  </si>
  <si>
    <t>Corymbia clarksoniana</t>
    <phoneticPr fontId="0" type="noConversion"/>
  </si>
  <si>
    <t>Corymbia dallachiana</t>
    <phoneticPr fontId="0" type="noConversion"/>
  </si>
  <si>
    <t>Corymbia erythrophloia</t>
    <phoneticPr fontId="0" type="noConversion"/>
  </si>
  <si>
    <t>Corymbia spp.</t>
    <phoneticPr fontId="0" type="noConversion"/>
  </si>
  <si>
    <t>E. crebra±E. xanthoclada</t>
    <phoneticPr fontId="0" type="noConversion"/>
  </si>
  <si>
    <t>E. melanophloia±E. whitei</t>
    <phoneticPr fontId="0" type="noConversion"/>
  </si>
  <si>
    <t>Eremophila mitchellii</t>
  </si>
  <si>
    <t>Eucalyptus brownii</t>
    <phoneticPr fontId="0" type="noConversion"/>
  </si>
  <si>
    <t>Eucalyptus camaldulensis</t>
    <phoneticPr fontId="0" type="noConversion"/>
  </si>
  <si>
    <t>Eucalyptus persistens</t>
    <phoneticPr fontId="0" type="noConversion"/>
  </si>
  <si>
    <t>Eucalyptus platyphylla</t>
    <phoneticPr fontId="0" type="noConversion"/>
  </si>
  <si>
    <t>Eucalyptus similis</t>
    <phoneticPr fontId="0" type="noConversion"/>
  </si>
  <si>
    <t>Eucalyptus spp.</t>
    <phoneticPr fontId="0" type="noConversion"/>
  </si>
  <si>
    <t>Lysiphyllum carronii</t>
  </si>
  <si>
    <t>Maytenus cunninghamii</t>
  </si>
  <si>
    <t>Melaleuca nervosa</t>
  </si>
  <si>
    <t>Petalostigma banksii</t>
  </si>
  <si>
    <t>Petalostigma pubescens</t>
  </si>
  <si>
    <t>Terminalia aridicola</t>
  </si>
  <si>
    <t>Fensham (1998)</t>
    <phoneticPr fontId="0" type="noConversion"/>
  </si>
  <si>
    <t>Eucalyptus xanthoclada</t>
    <phoneticPr fontId="0" type="noConversion"/>
  </si>
  <si>
    <t>Rice et al (2004)</t>
    <phoneticPr fontId="0" type="noConversion"/>
  </si>
  <si>
    <t>Corymbia erythrophloia</t>
  </si>
  <si>
    <t>Fensham et al (2003)</t>
    <phoneticPr fontId="0" type="noConversion"/>
  </si>
  <si>
    <t>Alphitonia excelsa</t>
  </si>
  <si>
    <t>Great Basalt Wall, Queensland, Australia</t>
    <phoneticPr fontId="0" type="noConversion"/>
  </si>
  <si>
    <t>Denhamia oleaster</t>
  </si>
  <si>
    <t>Diospyros humilis</t>
    <phoneticPr fontId="0" type="noConversion"/>
  </si>
  <si>
    <t>Erythroxylum australe</t>
  </si>
  <si>
    <t>Eucalyptus xanthoclada</t>
  </si>
  <si>
    <t>Flueggea leucopyros</t>
    <phoneticPr fontId="0" type="noConversion"/>
  </si>
  <si>
    <t>Hakea lorea</t>
    <phoneticPr fontId="0" type="noConversion"/>
  </si>
  <si>
    <t>Pittosporum spinescens</t>
  </si>
  <si>
    <t>Martinez-Vilalta and Pinol (2002)</t>
    <phoneticPr fontId="0" type="noConversion"/>
  </si>
  <si>
    <t>Pinus nigra</t>
    <phoneticPr fontId="0" type="noConversion"/>
  </si>
  <si>
    <t>Prades Mountains, NE Spain</t>
    <phoneticPr fontId="0" type="noConversion"/>
  </si>
  <si>
    <t>Pinus sylvestris</t>
    <phoneticPr fontId="0" type="noConversion"/>
  </si>
  <si>
    <t>Gu et al. 2015</t>
  </si>
  <si>
    <t xml:space="preserve">Acer saccharum </t>
  </si>
  <si>
    <t>Missouri, USA</t>
  </si>
  <si>
    <t xml:space="preserve">Carya ovata </t>
  </si>
  <si>
    <t xml:space="preserve">Fraxinus americana </t>
  </si>
  <si>
    <t xml:space="preserve">Juniperus virginiana </t>
  </si>
  <si>
    <t>Ganey &amp; Votja 2011</t>
  </si>
  <si>
    <t>Abies concolor</t>
  </si>
  <si>
    <t xml:space="preserve">Pseudotsuga menziesii </t>
  </si>
  <si>
    <t>Quercus gambelii</t>
  </si>
  <si>
    <t>Hoffmann et al. 2011</t>
  </si>
  <si>
    <t>Acer floridanum</t>
  </si>
  <si>
    <t>Acer rubrum</t>
  </si>
  <si>
    <t>Carya alba</t>
  </si>
  <si>
    <t>Carya glabra</t>
  </si>
  <si>
    <t>Chionanthus virginicus</t>
  </si>
  <si>
    <t>Cornus alternifolia</t>
  </si>
  <si>
    <t>Cornus florida</t>
  </si>
  <si>
    <t>Fagus grandiflora</t>
  </si>
  <si>
    <t>Fraxinus americana</t>
  </si>
  <si>
    <t>Ilex opaca</t>
  </si>
  <si>
    <t>Liquidambar styraciflua</t>
  </si>
  <si>
    <t>Liriodendron tulipifera</t>
  </si>
  <si>
    <t>Magnolia tripetala</t>
  </si>
  <si>
    <t>Morus rubra</t>
  </si>
  <si>
    <t>Nyssa sylvatica</t>
  </si>
  <si>
    <t>Oxydendron arboretum</t>
  </si>
  <si>
    <t>Prunus serotina</t>
  </si>
  <si>
    <t>Quercus rubra</t>
  </si>
  <si>
    <t>Vaccinium fuscatum</t>
  </si>
  <si>
    <t>Viburnum acerifolium</t>
  </si>
  <si>
    <t>Viburnum nudum</t>
  </si>
  <si>
    <t>Viburnum rafinesquianum</t>
  </si>
  <si>
    <t>Fensham et al. 2015</t>
  </si>
  <si>
    <t>Acacia coriacea</t>
  </si>
  <si>
    <t>Queensland, Australia</t>
  </si>
  <si>
    <t>Acacia excelsa</t>
  </si>
  <si>
    <t>Archidendropsis basaltica</t>
  </si>
  <si>
    <t>Atalaya hemiglauca</t>
  </si>
  <si>
    <t>Bauhinia carronii</t>
  </si>
  <si>
    <t>Bursaria incana</t>
  </si>
  <si>
    <t>Corymbia clarksoniana</t>
  </si>
  <si>
    <t>Corymbia dallachiana</t>
  </si>
  <si>
    <t>Eucalyptus brownii-E. populnea</t>
  </si>
  <si>
    <t>Eucalyptus crebra-E. xanthoclada</t>
  </si>
  <si>
    <t>Eucalyptus melanophloia-E. whitei</t>
  </si>
  <si>
    <t>Eucalyptus similis</t>
  </si>
  <si>
    <t>Geijera parviflora</t>
  </si>
  <si>
    <t>Grevillea striata</t>
  </si>
  <si>
    <t>Hakea lorea</t>
  </si>
  <si>
    <t>Psydrax oleifolium</t>
  </si>
  <si>
    <t>Camarero et al. 2015</t>
  </si>
  <si>
    <t>Abies alba</t>
  </si>
  <si>
    <t>Northern Spain</t>
  </si>
  <si>
    <t>Pinus halepensis</t>
  </si>
  <si>
    <t>Pinus sylvestris</t>
  </si>
  <si>
    <t>Cavin et al. 2013</t>
  </si>
  <si>
    <t xml:space="preserve">Fagus sylvatica </t>
  </si>
  <si>
    <t>Southern UK</t>
  </si>
  <si>
    <t xml:space="preserve">Quercus petraea </t>
  </si>
  <si>
    <t>Nardini et al. 2013</t>
  </si>
  <si>
    <t xml:space="preserve">Acer campestre </t>
  </si>
  <si>
    <t>Italy</t>
  </si>
  <si>
    <t xml:space="preserve">Acer monspessulanum </t>
  </si>
  <si>
    <t xml:space="preserve">Fraxinus ornus </t>
  </si>
  <si>
    <t xml:space="preserve">Prunus mahaleb </t>
  </si>
  <si>
    <t xml:space="preserve">Prunus spinosa </t>
  </si>
  <si>
    <t xml:space="preserve">Quercus pubescens </t>
  </si>
  <si>
    <t>Coll et al. 2013</t>
  </si>
  <si>
    <t xml:space="preserve"> Abies alba</t>
  </si>
  <si>
    <t>Spain</t>
  </si>
  <si>
    <t xml:space="preserve"> Castanea sativa</t>
  </si>
  <si>
    <t xml:space="preserve"> Fagus sylvatica</t>
  </si>
  <si>
    <t xml:space="preserve"> Juniperus thurifera</t>
  </si>
  <si>
    <t xml:space="preserve"> Pinus halepensis</t>
  </si>
  <si>
    <t xml:space="preserve"> Pinus nigra</t>
  </si>
  <si>
    <t xml:space="preserve"> Pinus pinaster</t>
  </si>
  <si>
    <t xml:space="preserve"> Pinus pinea</t>
  </si>
  <si>
    <t xml:space="preserve"> Pinus sylvestris</t>
  </si>
  <si>
    <t xml:space="preserve"> Pinus uncinata</t>
  </si>
  <si>
    <t xml:space="preserve"> Quercus faginea</t>
  </si>
  <si>
    <t xml:space="preserve"> Quercus humilis</t>
  </si>
  <si>
    <t xml:space="preserve"> Quercus ilex</t>
  </si>
  <si>
    <t xml:space="preserve"> Quercus petraea</t>
  </si>
  <si>
    <t xml:space="preserve"> Quercus pyrenaica</t>
  </si>
  <si>
    <t xml:space="preserve"> Quercus robur</t>
  </si>
  <si>
    <t xml:space="preserve"> Quercus suber</t>
  </si>
  <si>
    <t>Anderegg et al. 2015</t>
  </si>
  <si>
    <t>Western US</t>
  </si>
  <si>
    <t>Juniperus osteosperma</t>
  </si>
  <si>
    <t>Chazdon et al. 2005</t>
  </si>
  <si>
    <t>Costa Rica (NE)</t>
  </si>
  <si>
    <t>Goethalsia meiantha</t>
  </si>
  <si>
    <t>Pentaclethra macroloba</t>
  </si>
  <si>
    <t>Rollinia pittieri</t>
  </si>
  <si>
    <t>Xylopia sericophylla</t>
  </si>
  <si>
    <t>Dendropanax arboreus</t>
  </si>
  <si>
    <t>Vochysia ferruginea</t>
  </si>
  <si>
    <t>Vochysia guatemalensis</t>
  </si>
  <si>
    <t>Hernandia didymantha</t>
  </si>
  <si>
    <t>Inga alba</t>
  </si>
  <si>
    <t>Inga thiboudiana</t>
  </si>
  <si>
    <t>Iriartea deltoidea</t>
  </si>
  <si>
    <t>Laetia procera</t>
  </si>
  <si>
    <t>Socratea exhorrhiza</t>
  </si>
  <si>
    <t>Stryphnodendron microstachyum</t>
  </si>
  <si>
    <t>Euterpe precatoria</t>
  </si>
  <si>
    <t>Inga leiocalycina</t>
  </si>
  <si>
    <t>Fensham et al. 2012</t>
  </si>
  <si>
    <t>Acacia aneura</t>
  </si>
  <si>
    <t>Southern Queensland, Australia</t>
  </si>
  <si>
    <t>Eucalyptus populnea</t>
  </si>
  <si>
    <t>Dodonaea sinuolata</t>
  </si>
  <si>
    <t>Acacia tetragonophylla</t>
  </si>
  <si>
    <t>Corymbia terminalis</t>
  </si>
  <si>
    <t>Acacia cambagei</t>
  </si>
  <si>
    <t>Senna artemisiodies</t>
  </si>
  <si>
    <t>Eremophila latrobei</t>
  </si>
  <si>
    <t>Senna sp.</t>
  </si>
  <si>
    <t>Eremophila longifolia</t>
  </si>
  <si>
    <t>Dodonaea sp.</t>
  </si>
  <si>
    <t>Pittosporum angustifolium</t>
  </si>
  <si>
    <t>Eucalyptus melanophloia</t>
  </si>
  <si>
    <t>Eucalyptus intertexta</t>
  </si>
  <si>
    <t>Eremophila sp.</t>
  </si>
  <si>
    <t>Senna artemisioides</t>
  </si>
  <si>
    <t>Acacia stowardii</t>
  </si>
  <si>
    <t>Santalum lanceolatum</t>
  </si>
  <si>
    <t>Hakea leucoptera</t>
  </si>
  <si>
    <t>Dodonaea viscosa</t>
  </si>
  <si>
    <t>Erem sp.</t>
  </si>
  <si>
    <t>Ehretia membranifolia</t>
  </si>
  <si>
    <t>Acacia harpophylla</t>
  </si>
  <si>
    <t>Callitris sp.</t>
  </si>
  <si>
    <t>Micromyrtus hexamera</t>
  </si>
  <si>
    <t>Peng et al. 2011</t>
  </si>
  <si>
    <t>Boreal Canada</t>
  </si>
  <si>
    <t>Pinus banksiana</t>
  </si>
  <si>
    <t>Picea glauca</t>
  </si>
  <si>
    <t>Picea mariana</t>
  </si>
  <si>
    <t>Other spp.</t>
  </si>
  <si>
    <t xml:space="preserve"> N total indivs reported, equal intensity across spp assumed</t>
  </si>
  <si>
    <t>N indivs taken from Newberry et al. 1999 abundances from 1986 start of study</t>
  </si>
  <si>
    <t>Nindivs not reported; assumed to be median across all studies</t>
  </si>
  <si>
    <t>N indivs estimated the relative abundances from the paper and Ameriflux website</t>
  </si>
  <si>
    <t>Used Mort scenario #2 as mid-range technique;  N indivs not reported, taken as median across studies for all species</t>
  </si>
  <si>
    <t>Removed 3 species with &gt;30% plantation grown</t>
  </si>
  <si>
    <t xml:space="preserve"> Pinus contorta dropped due to non-drought pine beetle mortality; N indivs estimated from 799 plots x average plot density</t>
  </si>
  <si>
    <t>Study Notes</t>
  </si>
  <si>
    <t>1st row of a species is for stems 10-99 mm dbh; 2nd row is for stems &gt;= 100 mm dbh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</si>
</sst>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2"/>
      <color rgb="FF000000"/>
      <name val="Calibri (Body)"/>
    </font>
    <font>
      <i/>
      <sz val="12"/>
      <color theme="1"/>
      <name val="Calibri (Body)"/>
    </font>
    <font>
      <sz val="11"/>
      <color rgb="FF000000"/>
      <name val="Calibri"/>
      <family val="2"/>
      <scheme val="minor"/>
    </font>
    <font>
      <i/>
      <sz val="8"/>
      <color theme="1"/>
      <name val="TimesNRMT"/>
      <family val="1"/>
    </font>
    <font>
      <i/>
      <sz val="12"/>
      <color rgb="FF000000"/>
      <name val="Calibri (Body)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167" fontId="2" fillId="0" borderId="0" xfId="0" applyNumberFormat="1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5" xfId="0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3" xfId="0" applyFill="1" applyBorder="1"/>
    <xf numFmtId="0" fontId="5" fillId="0" borderId="0" xfId="0" applyFont="1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2"/>
  <sheetViews>
    <sheetView tabSelected="1" zoomScale="120" zoomScaleNormal="120" zoomScalePageLayoutView="12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E6" sqref="E6"/>
    </sheetView>
  </sheetViews>
  <sheetFormatPr baseColWidth="10" defaultColWidth="8.83203125" defaultRowHeight="16" x14ac:dyDescent="0"/>
  <cols>
    <col min="1" max="1" width="11.33203125" style="4" customWidth="1"/>
    <col min="2" max="2" width="31.1640625" style="4" customWidth="1"/>
    <col min="3" max="3" width="41.1640625" style="5" customWidth="1"/>
    <col min="4" max="4" width="11.1640625" style="6" customWidth="1"/>
    <col min="5" max="5" width="16.83203125" style="7" bestFit="1" customWidth="1"/>
    <col min="6" max="7" width="16.83203125" style="7" customWidth="1"/>
    <col min="8" max="8" width="16.83203125" style="8" customWidth="1"/>
    <col min="9" max="9" width="29.33203125" style="8" bestFit="1" customWidth="1"/>
    <col min="10" max="10" width="40" style="10" customWidth="1"/>
    <col min="11" max="16384" width="8.83203125" style="4"/>
  </cols>
  <sheetData>
    <row r="1" spans="1:10" s="1" customFormat="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623</v>
      </c>
    </row>
    <row r="2" spans="1:10">
      <c r="A2" s="8">
        <v>1</v>
      </c>
      <c r="B2" s="8" t="s">
        <v>9</v>
      </c>
      <c r="C2" s="5" t="s">
        <v>10</v>
      </c>
      <c r="D2" s="6">
        <v>1</v>
      </c>
      <c r="E2" s="8">
        <v>9.65</v>
      </c>
      <c r="F2" s="20">
        <f t="shared" ref="F2:F65" si="0">AVERAGE(E$2:E$336)</f>
        <v>4.2328656716417941</v>
      </c>
      <c r="G2" s="20">
        <f>E2-F2</f>
        <v>5.4171343283582063</v>
      </c>
      <c r="H2" s="8">
        <v>1566</v>
      </c>
      <c r="I2" s="8" t="s">
        <v>11</v>
      </c>
      <c r="J2" s="5" t="s">
        <v>624</v>
      </c>
    </row>
    <row r="3" spans="1:10" s="11" customFormat="1">
      <c r="A3" s="8">
        <v>1</v>
      </c>
      <c r="B3" s="8" t="s">
        <v>9</v>
      </c>
      <c r="C3" s="5" t="s">
        <v>12</v>
      </c>
      <c r="D3" s="6">
        <v>1</v>
      </c>
      <c r="E3" s="6">
        <v>9.89</v>
      </c>
      <c r="F3" s="20">
        <f t="shared" si="0"/>
        <v>4.2328656716417941</v>
      </c>
      <c r="G3" s="20">
        <f>E3-F3</f>
        <v>5.6571343283582065</v>
      </c>
      <c r="H3" s="6">
        <v>78</v>
      </c>
      <c r="I3" s="8" t="s">
        <v>11</v>
      </c>
      <c r="J3" s="5"/>
    </row>
    <row r="4" spans="1:10">
      <c r="A4" s="8">
        <v>1</v>
      </c>
      <c r="B4" s="8" t="s">
        <v>9</v>
      </c>
      <c r="C4" s="5" t="s">
        <v>13</v>
      </c>
      <c r="D4" s="6">
        <v>1</v>
      </c>
      <c r="E4" s="8">
        <v>4.38</v>
      </c>
      <c r="F4" s="20">
        <f t="shared" si="0"/>
        <v>4.2328656716417941</v>
      </c>
      <c r="G4" s="20">
        <f>E4-F4</f>
        <v>0.14713432835820583</v>
      </c>
      <c r="H4" s="8">
        <v>230</v>
      </c>
      <c r="I4" s="8" t="s">
        <v>11</v>
      </c>
      <c r="J4" s="5"/>
    </row>
    <row r="5" spans="1:10">
      <c r="A5" s="8">
        <v>1</v>
      </c>
      <c r="B5" s="8" t="s">
        <v>9</v>
      </c>
      <c r="C5" s="5" t="s">
        <v>13</v>
      </c>
      <c r="D5" s="6">
        <v>1</v>
      </c>
      <c r="E5" s="8">
        <v>1.49</v>
      </c>
      <c r="F5" s="20">
        <f t="shared" si="0"/>
        <v>4.2328656716417941</v>
      </c>
      <c r="G5" s="20">
        <f>E5-F5</f>
        <v>-2.7428656716417938</v>
      </c>
      <c r="H5" s="8">
        <v>115</v>
      </c>
      <c r="I5" s="8" t="s">
        <v>11</v>
      </c>
      <c r="J5" s="5"/>
    </row>
    <row r="6" spans="1:10">
      <c r="A6" s="8">
        <v>1</v>
      </c>
      <c r="B6" s="8" t="s">
        <v>9</v>
      </c>
      <c r="C6" s="5" t="s">
        <v>14</v>
      </c>
      <c r="D6" s="6">
        <v>1</v>
      </c>
      <c r="E6" s="8">
        <v>7.32</v>
      </c>
      <c r="F6" s="20">
        <f t="shared" si="0"/>
        <v>4.2328656716417941</v>
      </c>
      <c r="G6" s="20">
        <f>E6-F6</f>
        <v>3.0871343283582062</v>
      </c>
      <c r="H6" s="8">
        <v>111</v>
      </c>
      <c r="I6" s="8" t="s">
        <v>11</v>
      </c>
      <c r="J6" s="5"/>
    </row>
    <row r="7" spans="1:10">
      <c r="A7" s="8">
        <v>1</v>
      </c>
      <c r="B7" s="8" t="s">
        <v>9</v>
      </c>
      <c r="C7" s="5" t="s">
        <v>14</v>
      </c>
      <c r="D7" s="6">
        <v>1</v>
      </c>
      <c r="E7" s="8">
        <v>4.1399999999999997</v>
      </c>
      <c r="F7" s="20">
        <f t="shared" si="0"/>
        <v>4.2328656716417941</v>
      </c>
      <c r="G7" s="20">
        <f>E7-F7</f>
        <v>-9.2865671641794378E-2</v>
      </c>
      <c r="H7" s="8">
        <v>23</v>
      </c>
      <c r="I7" s="8" t="s">
        <v>11</v>
      </c>
      <c r="J7" s="5"/>
    </row>
    <row r="8" spans="1:10" s="11" customFormat="1">
      <c r="A8" s="8">
        <v>1</v>
      </c>
      <c r="B8" s="8" t="s">
        <v>9</v>
      </c>
      <c r="C8" s="5" t="s">
        <v>15</v>
      </c>
      <c r="D8" s="6">
        <v>1</v>
      </c>
      <c r="E8" s="6">
        <v>11.94</v>
      </c>
      <c r="F8" s="20">
        <f t="shared" si="0"/>
        <v>4.2328656716417941</v>
      </c>
      <c r="G8" s="20">
        <f>E8-F8</f>
        <v>7.7071343283582054</v>
      </c>
      <c r="H8" s="6">
        <v>224</v>
      </c>
      <c r="I8" s="8" t="s">
        <v>11</v>
      </c>
      <c r="J8" s="5"/>
    </row>
    <row r="9" spans="1:10">
      <c r="A9" s="8">
        <v>1</v>
      </c>
      <c r="B9" s="8" t="s">
        <v>9</v>
      </c>
      <c r="C9" s="5" t="s">
        <v>15</v>
      </c>
      <c r="D9" s="6">
        <v>1</v>
      </c>
      <c r="E9" s="8">
        <v>1.89</v>
      </c>
      <c r="F9" s="20">
        <f t="shared" si="0"/>
        <v>4.2328656716417941</v>
      </c>
      <c r="G9" s="20">
        <f>E9-F9</f>
        <v>-2.3428656716417944</v>
      </c>
      <c r="H9" s="8">
        <v>160</v>
      </c>
      <c r="I9" s="8" t="s">
        <v>11</v>
      </c>
      <c r="J9" s="5"/>
    </row>
    <row r="10" spans="1:10" s="11" customFormat="1">
      <c r="A10" s="8">
        <v>1</v>
      </c>
      <c r="B10" s="8" t="s">
        <v>9</v>
      </c>
      <c r="C10" s="5" t="s">
        <v>16</v>
      </c>
      <c r="D10" s="6">
        <v>1</v>
      </c>
      <c r="E10" s="6">
        <v>1.1299999999999999</v>
      </c>
      <c r="F10" s="20">
        <f t="shared" si="0"/>
        <v>4.2328656716417941</v>
      </c>
      <c r="G10" s="20">
        <f>E10-F10</f>
        <v>-3.1028656716417942</v>
      </c>
      <c r="H10" s="6">
        <v>303</v>
      </c>
      <c r="I10" s="8" t="s">
        <v>11</v>
      </c>
      <c r="J10" s="5"/>
    </row>
    <row r="11" spans="1:10" s="11" customFormat="1">
      <c r="A11" s="8">
        <v>1</v>
      </c>
      <c r="B11" s="8" t="s">
        <v>9</v>
      </c>
      <c r="C11" s="5" t="s">
        <v>17</v>
      </c>
      <c r="D11" s="6">
        <v>1</v>
      </c>
      <c r="E11" s="6">
        <v>5.81</v>
      </c>
      <c r="F11" s="20">
        <f t="shared" si="0"/>
        <v>4.2328656716417941</v>
      </c>
      <c r="G11" s="20">
        <f>E11-F11</f>
        <v>1.5771343283582056</v>
      </c>
      <c r="H11" s="6">
        <v>145</v>
      </c>
      <c r="I11" s="8" t="s">
        <v>11</v>
      </c>
      <c r="J11" s="5"/>
    </row>
    <row r="12" spans="1:10">
      <c r="A12" s="8">
        <v>1</v>
      </c>
      <c r="B12" s="8" t="s">
        <v>9</v>
      </c>
      <c r="C12" s="5" t="s">
        <v>17</v>
      </c>
      <c r="D12" s="6">
        <v>1</v>
      </c>
      <c r="E12" s="8">
        <v>2</v>
      </c>
      <c r="F12" s="20">
        <f t="shared" si="0"/>
        <v>4.2328656716417941</v>
      </c>
      <c r="G12" s="20">
        <f>E12-F12</f>
        <v>-2.2328656716417941</v>
      </c>
      <c r="H12" s="8">
        <v>30</v>
      </c>
      <c r="I12" s="8" t="s">
        <v>11</v>
      </c>
      <c r="J12" s="5"/>
    </row>
    <row r="13" spans="1:10" s="11" customFormat="1">
      <c r="A13" s="8">
        <v>1</v>
      </c>
      <c r="B13" s="8" t="s">
        <v>9</v>
      </c>
      <c r="C13" s="5" t="s">
        <v>18</v>
      </c>
      <c r="D13" s="6">
        <v>1</v>
      </c>
      <c r="E13" s="6">
        <v>1.42</v>
      </c>
      <c r="F13" s="20">
        <f t="shared" si="0"/>
        <v>4.2328656716417941</v>
      </c>
      <c r="G13" s="20">
        <f>E13-F13</f>
        <v>-2.8128656716417941</v>
      </c>
      <c r="H13" s="6">
        <v>6748</v>
      </c>
      <c r="I13" s="8" t="s">
        <v>11</v>
      </c>
      <c r="J13" s="5"/>
    </row>
    <row r="14" spans="1:10">
      <c r="A14" s="8">
        <v>1</v>
      </c>
      <c r="B14" s="8" t="s">
        <v>9</v>
      </c>
      <c r="C14" s="5" t="s">
        <v>18</v>
      </c>
      <c r="D14" s="6">
        <v>1</v>
      </c>
      <c r="E14" s="8">
        <v>0.91</v>
      </c>
      <c r="F14" s="20">
        <f t="shared" si="0"/>
        <v>4.2328656716417941</v>
      </c>
      <c r="G14" s="20">
        <f>E14-F14</f>
        <v>-3.3228656716417939</v>
      </c>
      <c r="H14" s="8">
        <v>847</v>
      </c>
      <c r="I14" s="8" t="s">
        <v>11</v>
      </c>
      <c r="J14" s="5"/>
    </row>
    <row r="15" spans="1:10" s="11" customFormat="1">
      <c r="A15" s="8">
        <v>1</v>
      </c>
      <c r="B15" s="8" t="s">
        <v>9</v>
      </c>
      <c r="C15" s="5" t="s">
        <v>19</v>
      </c>
      <c r="D15" s="6">
        <v>1</v>
      </c>
      <c r="E15" s="6">
        <v>0.88</v>
      </c>
      <c r="F15" s="20">
        <f t="shared" si="0"/>
        <v>4.2328656716417941</v>
      </c>
      <c r="G15" s="20">
        <f>E15-F15</f>
        <v>-3.3528656716417942</v>
      </c>
      <c r="H15" s="6">
        <v>29</v>
      </c>
      <c r="I15" s="8" t="s">
        <v>11</v>
      </c>
      <c r="J15" s="5"/>
    </row>
    <row r="16" spans="1:10">
      <c r="A16" s="8">
        <v>1</v>
      </c>
      <c r="B16" s="8" t="s">
        <v>9</v>
      </c>
      <c r="C16" s="5" t="s">
        <v>20</v>
      </c>
      <c r="D16" s="6">
        <v>1</v>
      </c>
      <c r="E16" s="8">
        <v>5.54</v>
      </c>
      <c r="F16" s="20">
        <f t="shared" si="0"/>
        <v>4.2328656716417941</v>
      </c>
      <c r="G16" s="20">
        <f>E16-F16</f>
        <v>1.307134328358206</v>
      </c>
      <c r="H16" s="8">
        <v>5</v>
      </c>
      <c r="I16" s="8" t="s">
        <v>11</v>
      </c>
      <c r="J16" s="5"/>
    </row>
    <row r="17" spans="1:10" s="11" customFormat="1">
      <c r="A17" s="8">
        <v>1</v>
      </c>
      <c r="B17" s="8" t="s">
        <v>9</v>
      </c>
      <c r="C17" s="5" t="s">
        <v>20</v>
      </c>
      <c r="D17" s="6">
        <v>1</v>
      </c>
      <c r="E17" s="6">
        <v>0</v>
      </c>
      <c r="F17" s="20">
        <f t="shared" si="0"/>
        <v>4.2328656716417941</v>
      </c>
      <c r="G17" s="20">
        <f>E17-F17</f>
        <v>-4.2328656716417941</v>
      </c>
      <c r="H17" s="6">
        <v>23</v>
      </c>
      <c r="I17" s="8" t="s">
        <v>11</v>
      </c>
      <c r="J17" s="5"/>
    </row>
    <row r="18" spans="1:10" s="11" customFormat="1">
      <c r="A18" s="8">
        <v>1</v>
      </c>
      <c r="B18" s="8" t="s">
        <v>9</v>
      </c>
      <c r="C18" s="5" t="s">
        <v>21</v>
      </c>
      <c r="D18" s="6">
        <v>1</v>
      </c>
      <c r="E18" s="6">
        <v>5.33</v>
      </c>
      <c r="F18" s="20">
        <f t="shared" si="0"/>
        <v>4.2328656716417941</v>
      </c>
      <c r="G18" s="20">
        <f>E18-F18</f>
        <v>1.097134328358206</v>
      </c>
      <c r="H18" s="6">
        <v>472</v>
      </c>
      <c r="I18" s="8" t="s">
        <v>11</v>
      </c>
      <c r="J18" s="5"/>
    </row>
    <row r="19" spans="1:10">
      <c r="A19" s="8">
        <v>1</v>
      </c>
      <c r="B19" s="8" t="s">
        <v>9</v>
      </c>
      <c r="C19" s="5" t="s">
        <v>22</v>
      </c>
      <c r="D19" s="6">
        <v>1</v>
      </c>
      <c r="E19" s="6">
        <v>0.94</v>
      </c>
      <c r="F19" s="20">
        <f t="shared" si="0"/>
        <v>4.2328656716417941</v>
      </c>
      <c r="G19" s="20">
        <f>E19-F19</f>
        <v>-3.2928656716417941</v>
      </c>
      <c r="H19" s="6">
        <v>276</v>
      </c>
      <c r="I19" s="8" t="s">
        <v>11</v>
      </c>
      <c r="J19" s="5"/>
    </row>
    <row r="20" spans="1:10" s="11" customFormat="1">
      <c r="A20" s="8">
        <v>1</v>
      </c>
      <c r="B20" s="8" t="s">
        <v>9</v>
      </c>
      <c r="C20" s="5" t="s">
        <v>22</v>
      </c>
      <c r="D20" s="6">
        <v>1</v>
      </c>
      <c r="E20" s="6">
        <v>4.4800000000000004</v>
      </c>
      <c r="F20" s="20">
        <f t="shared" si="0"/>
        <v>4.2328656716417941</v>
      </c>
      <c r="G20" s="20">
        <f>E20-F20</f>
        <v>0.24713432835820637</v>
      </c>
      <c r="H20" s="6">
        <v>42</v>
      </c>
      <c r="I20" s="8" t="s">
        <v>11</v>
      </c>
      <c r="J20" s="5"/>
    </row>
    <row r="21" spans="1:10">
      <c r="A21" s="8">
        <v>1</v>
      </c>
      <c r="B21" s="8" t="s">
        <v>9</v>
      </c>
      <c r="C21" s="5" t="s">
        <v>23</v>
      </c>
      <c r="D21" s="6">
        <v>1</v>
      </c>
      <c r="E21" s="8">
        <v>2.65</v>
      </c>
      <c r="F21" s="20">
        <f t="shared" si="0"/>
        <v>4.2328656716417941</v>
      </c>
      <c r="G21" s="20">
        <f>E21-F21</f>
        <v>-1.5828656716417941</v>
      </c>
      <c r="H21" s="8">
        <v>509</v>
      </c>
      <c r="I21" s="8" t="s">
        <v>11</v>
      </c>
      <c r="J21" s="5"/>
    </row>
    <row r="22" spans="1:10" s="11" customFormat="1">
      <c r="A22" s="8">
        <v>1</v>
      </c>
      <c r="B22" s="8" t="s">
        <v>9</v>
      </c>
      <c r="C22" s="5" t="s">
        <v>24</v>
      </c>
      <c r="D22" s="6">
        <v>1</v>
      </c>
      <c r="E22" s="8">
        <v>12.84</v>
      </c>
      <c r="F22" s="20">
        <f t="shared" si="0"/>
        <v>4.2328656716417941</v>
      </c>
      <c r="G22" s="20">
        <f>E22-F22</f>
        <v>8.6071343283582067</v>
      </c>
      <c r="H22" s="8">
        <v>39</v>
      </c>
      <c r="I22" s="8" t="s">
        <v>11</v>
      </c>
      <c r="J22" s="5"/>
    </row>
    <row r="23" spans="1:10">
      <c r="A23" s="8">
        <v>1</v>
      </c>
      <c r="B23" s="8" t="s">
        <v>9</v>
      </c>
      <c r="C23" s="5" t="s">
        <v>25</v>
      </c>
      <c r="D23" s="6">
        <v>1</v>
      </c>
      <c r="E23" s="8">
        <v>5.14</v>
      </c>
      <c r="F23" s="20">
        <f t="shared" si="0"/>
        <v>4.2328656716417941</v>
      </c>
      <c r="G23" s="20">
        <f>E23-F23</f>
        <v>0.90713432835820562</v>
      </c>
      <c r="H23" s="8">
        <v>151</v>
      </c>
      <c r="I23" s="8" t="s">
        <v>11</v>
      </c>
      <c r="J23" s="5"/>
    </row>
    <row r="24" spans="1:10" s="11" customFormat="1">
      <c r="A24" s="8">
        <v>1</v>
      </c>
      <c r="B24" s="8" t="s">
        <v>9</v>
      </c>
      <c r="C24" s="5" t="s">
        <v>25</v>
      </c>
      <c r="D24" s="6">
        <v>1</v>
      </c>
      <c r="E24" s="6">
        <v>3.06</v>
      </c>
      <c r="F24" s="20">
        <f t="shared" si="0"/>
        <v>4.2328656716417941</v>
      </c>
      <c r="G24" s="20">
        <f>E24-F24</f>
        <v>-1.172865671641794</v>
      </c>
      <c r="H24" s="6">
        <v>238</v>
      </c>
      <c r="I24" s="8" t="s">
        <v>11</v>
      </c>
      <c r="J24" s="5"/>
    </row>
    <row r="25" spans="1:10" s="11" customFormat="1">
      <c r="A25" s="8">
        <v>1</v>
      </c>
      <c r="B25" s="8" t="s">
        <v>9</v>
      </c>
      <c r="C25" s="5" t="s">
        <v>26</v>
      </c>
      <c r="D25" s="6">
        <v>1</v>
      </c>
      <c r="E25" s="6">
        <v>6.93</v>
      </c>
      <c r="F25" s="20">
        <f t="shared" si="0"/>
        <v>4.2328656716417941</v>
      </c>
      <c r="G25" s="20">
        <f>E25-F25</f>
        <v>2.6971343283582057</v>
      </c>
      <c r="H25" s="6">
        <v>20</v>
      </c>
      <c r="I25" s="8" t="s">
        <v>11</v>
      </c>
      <c r="J25" s="5"/>
    </row>
    <row r="26" spans="1:10">
      <c r="A26" s="8">
        <v>1</v>
      </c>
      <c r="B26" s="8" t="s">
        <v>9</v>
      </c>
      <c r="C26" s="5" t="s">
        <v>26</v>
      </c>
      <c r="D26" s="6">
        <v>1</v>
      </c>
      <c r="E26" s="6">
        <v>3.88</v>
      </c>
      <c r="F26" s="20">
        <f t="shared" si="0"/>
        <v>4.2328656716417941</v>
      </c>
      <c r="G26" s="20">
        <f>E26-F26</f>
        <v>-0.35286567164179417</v>
      </c>
      <c r="H26" s="6">
        <v>26</v>
      </c>
      <c r="I26" s="8" t="s">
        <v>11</v>
      </c>
      <c r="J26" s="5"/>
    </row>
    <row r="27" spans="1:10" s="11" customFormat="1">
      <c r="A27" s="8">
        <v>1</v>
      </c>
      <c r="B27" s="8" t="s">
        <v>9</v>
      </c>
      <c r="C27" s="5" t="s">
        <v>27</v>
      </c>
      <c r="D27" s="6">
        <v>1</v>
      </c>
      <c r="E27" s="6">
        <v>0.72</v>
      </c>
      <c r="F27" s="20">
        <f t="shared" si="0"/>
        <v>4.2328656716417941</v>
      </c>
      <c r="G27" s="20">
        <f>E27-F27</f>
        <v>-3.5128656716417943</v>
      </c>
      <c r="H27" s="6">
        <v>76</v>
      </c>
      <c r="I27" s="8" t="s">
        <v>11</v>
      </c>
      <c r="J27" s="5"/>
    </row>
    <row r="28" spans="1:10">
      <c r="A28" s="8">
        <v>1</v>
      </c>
      <c r="B28" s="8" t="s">
        <v>9</v>
      </c>
      <c r="C28" s="5" t="s">
        <v>28</v>
      </c>
      <c r="D28" s="6">
        <v>1</v>
      </c>
      <c r="E28" s="8">
        <v>0.97</v>
      </c>
      <c r="F28" s="20">
        <f t="shared" si="0"/>
        <v>4.2328656716417941</v>
      </c>
      <c r="G28" s="20">
        <f>E28-F28</f>
        <v>-3.2628656716417943</v>
      </c>
      <c r="H28" s="8">
        <v>403</v>
      </c>
      <c r="I28" s="8" t="s">
        <v>11</v>
      </c>
      <c r="J28" s="5"/>
    </row>
    <row r="29" spans="1:10" s="11" customFormat="1">
      <c r="A29" s="8">
        <v>1</v>
      </c>
      <c r="B29" s="8" t="s">
        <v>9</v>
      </c>
      <c r="C29" s="5" t="s">
        <v>28</v>
      </c>
      <c r="D29" s="6">
        <v>1</v>
      </c>
      <c r="E29" s="8">
        <v>0.56999999999999995</v>
      </c>
      <c r="F29" s="20">
        <f t="shared" si="0"/>
        <v>4.2328656716417941</v>
      </c>
      <c r="G29" s="20">
        <f>E29-F29</f>
        <v>-3.6628656716417942</v>
      </c>
      <c r="H29" s="8">
        <v>48</v>
      </c>
      <c r="I29" s="8" t="s">
        <v>11</v>
      </c>
      <c r="J29" s="5"/>
    </row>
    <row r="30" spans="1:10">
      <c r="A30" s="8">
        <v>1</v>
      </c>
      <c r="B30" s="8" t="s">
        <v>9</v>
      </c>
      <c r="C30" s="5" t="s">
        <v>29</v>
      </c>
      <c r="D30" s="6">
        <v>1</v>
      </c>
      <c r="E30" s="8">
        <v>17.28</v>
      </c>
      <c r="F30" s="20">
        <f t="shared" si="0"/>
        <v>4.2328656716417941</v>
      </c>
      <c r="G30" s="20">
        <f>E30-F30</f>
        <v>13.047134328358208</v>
      </c>
      <c r="H30" s="8">
        <v>15</v>
      </c>
      <c r="I30" s="8" t="s">
        <v>11</v>
      </c>
      <c r="J30" s="5"/>
    </row>
    <row r="31" spans="1:10" s="11" customFormat="1">
      <c r="A31" s="8">
        <v>1</v>
      </c>
      <c r="B31" s="8" t="s">
        <v>9</v>
      </c>
      <c r="C31" s="5" t="s">
        <v>29</v>
      </c>
      <c r="D31" s="6">
        <v>1</v>
      </c>
      <c r="E31" s="6">
        <v>1.55</v>
      </c>
      <c r="F31" s="20">
        <f t="shared" si="0"/>
        <v>4.2328656716417941</v>
      </c>
      <c r="G31" s="20">
        <f>E31-F31</f>
        <v>-2.6828656716417942</v>
      </c>
      <c r="H31" s="6">
        <v>233</v>
      </c>
      <c r="I31" s="8" t="s">
        <v>11</v>
      </c>
      <c r="J31" s="5"/>
    </row>
    <row r="32" spans="1:10" s="11" customFormat="1">
      <c r="A32" s="8">
        <v>1</v>
      </c>
      <c r="B32" s="8" t="s">
        <v>9</v>
      </c>
      <c r="C32" s="5" t="s">
        <v>30</v>
      </c>
      <c r="D32" s="6">
        <v>1</v>
      </c>
      <c r="E32" s="6">
        <v>5.49</v>
      </c>
      <c r="F32" s="20">
        <f t="shared" si="0"/>
        <v>4.2328656716417941</v>
      </c>
      <c r="G32" s="20">
        <f>E32-F32</f>
        <v>1.2571343283582062</v>
      </c>
      <c r="H32" s="6">
        <v>30</v>
      </c>
      <c r="I32" s="8" t="s">
        <v>11</v>
      </c>
      <c r="J32" s="5"/>
    </row>
    <row r="33" spans="1:10">
      <c r="A33" s="8">
        <v>1</v>
      </c>
      <c r="B33" s="8" t="s">
        <v>9</v>
      </c>
      <c r="C33" s="5" t="s">
        <v>30</v>
      </c>
      <c r="D33" s="6">
        <v>1</v>
      </c>
      <c r="E33" s="6">
        <v>0</v>
      </c>
      <c r="F33" s="20">
        <f t="shared" si="0"/>
        <v>4.2328656716417941</v>
      </c>
      <c r="G33" s="20">
        <f>E33-F33</f>
        <v>-4.2328656716417941</v>
      </c>
      <c r="H33" s="6">
        <v>55</v>
      </c>
      <c r="I33" s="8" t="s">
        <v>11</v>
      </c>
      <c r="J33" s="5"/>
    </row>
    <row r="34" spans="1:10" s="11" customFormat="1">
      <c r="A34" s="8">
        <v>1</v>
      </c>
      <c r="B34" s="8" t="s">
        <v>9</v>
      </c>
      <c r="C34" s="5" t="s">
        <v>31</v>
      </c>
      <c r="D34" s="6">
        <v>1</v>
      </c>
      <c r="E34" s="6">
        <v>2.17</v>
      </c>
      <c r="F34" s="20">
        <f t="shared" si="0"/>
        <v>4.2328656716417941</v>
      </c>
      <c r="G34" s="20">
        <f>E34-F34</f>
        <v>-2.0628656716417941</v>
      </c>
      <c r="H34" s="6">
        <v>2068</v>
      </c>
      <c r="I34" s="8" t="s">
        <v>11</v>
      </c>
      <c r="J34" s="5"/>
    </row>
    <row r="35" spans="1:10">
      <c r="A35" s="8">
        <v>1</v>
      </c>
      <c r="B35" s="8" t="s">
        <v>9</v>
      </c>
      <c r="C35" s="5" t="s">
        <v>31</v>
      </c>
      <c r="D35" s="6">
        <v>1</v>
      </c>
      <c r="E35" s="8">
        <v>1.95</v>
      </c>
      <c r="F35" s="20">
        <f t="shared" si="0"/>
        <v>4.2328656716417941</v>
      </c>
      <c r="G35" s="20">
        <f>E35-F35</f>
        <v>-2.2828656716417939</v>
      </c>
      <c r="H35" s="8">
        <v>308</v>
      </c>
      <c r="I35" s="8" t="s">
        <v>11</v>
      </c>
      <c r="J35" s="5"/>
    </row>
    <row r="36" spans="1:10" s="11" customFormat="1">
      <c r="A36" s="8">
        <v>1</v>
      </c>
      <c r="B36" s="8" t="s">
        <v>9</v>
      </c>
      <c r="C36" s="5" t="s">
        <v>32</v>
      </c>
      <c r="D36" s="6">
        <v>1</v>
      </c>
      <c r="E36" s="8">
        <v>0.56999999999999995</v>
      </c>
      <c r="F36" s="20">
        <f t="shared" si="0"/>
        <v>4.2328656716417941</v>
      </c>
      <c r="G36" s="20">
        <f>E36-F36</f>
        <v>-3.6628656716417942</v>
      </c>
      <c r="H36" s="8">
        <v>682</v>
      </c>
      <c r="I36" s="8" t="s">
        <v>11</v>
      </c>
      <c r="J36" s="5"/>
    </row>
    <row r="37" spans="1:10">
      <c r="A37" s="8">
        <v>1</v>
      </c>
      <c r="B37" s="8" t="s">
        <v>9</v>
      </c>
      <c r="C37" s="5" t="s">
        <v>32</v>
      </c>
      <c r="D37" s="6">
        <v>1</v>
      </c>
      <c r="E37" s="8">
        <v>1.85</v>
      </c>
      <c r="F37" s="20">
        <f t="shared" si="0"/>
        <v>4.2328656716417941</v>
      </c>
      <c r="G37" s="20">
        <f>E37-F37</f>
        <v>-2.382865671641794</v>
      </c>
      <c r="H37" s="8">
        <v>183</v>
      </c>
      <c r="I37" s="8" t="s">
        <v>11</v>
      </c>
      <c r="J37" s="5"/>
    </row>
    <row r="38" spans="1:10" s="11" customFormat="1">
      <c r="A38" s="8">
        <v>1</v>
      </c>
      <c r="B38" s="8" t="s">
        <v>9</v>
      </c>
      <c r="C38" s="5" t="s">
        <v>33</v>
      </c>
      <c r="D38" s="6">
        <v>1</v>
      </c>
      <c r="E38" s="6">
        <v>2.5299999999999998</v>
      </c>
      <c r="F38" s="20">
        <f t="shared" si="0"/>
        <v>4.2328656716417941</v>
      </c>
      <c r="G38" s="20">
        <f>E38-F38</f>
        <v>-1.7028656716417943</v>
      </c>
      <c r="H38" s="6">
        <v>594</v>
      </c>
      <c r="I38" s="8" t="s">
        <v>11</v>
      </c>
      <c r="J38" s="5"/>
    </row>
    <row r="39" spans="1:10" s="11" customFormat="1">
      <c r="A39" s="8">
        <v>1</v>
      </c>
      <c r="B39" s="8" t="s">
        <v>9</v>
      </c>
      <c r="C39" s="5" t="s">
        <v>33</v>
      </c>
      <c r="D39" s="6">
        <v>1</v>
      </c>
      <c r="E39" s="6">
        <v>2.88</v>
      </c>
      <c r="F39" s="20">
        <f t="shared" si="0"/>
        <v>4.2328656716417941</v>
      </c>
      <c r="G39" s="20">
        <f>E39-F39</f>
        <v>-1.3528656716417942</v>
      </c>
      <c r="H39" s="6">
        <v>55</v>
      </c>
      <c r="I39" s="8" t="s">
        <v>11</v>
      </c>
      <c r="J39" s="5"/>
    </row>
    <row r="40" spans="1:10">
      <c r="A40" s="8">
        <v>1</v>
      </c>
      <c r="B40" s="8" t="s">
        <v>9</v>
      </c>
      <c r="C40" s="5" t="s">
        <v>34</v>
      </c>
      <c r="D40" s="6">
        <v>1</v>
      </c>
      <c r="E40" s="6">
        <v>0.89</v>
      </c>
      <c r="F40" s="20">
        <f t="shared" si="0"/>
        <v>4.2328656716417941</v>
      </c>
      <c r="G40" s="20">
        <f>E40-F40</f>
        <v>-3.3428656716417939</v>
      </c>
      <c r="H40" s="6">
        <v>3536</v>
      </c>
      <c r="I40" s="8" t="s">
        <v>11</v>
      </c>
      <c r="J40" s="5"/>
    </row>
    <row r="41" spans="1:10" s="11" customFormat="1">
      <c r="A41" s="8">
        <v>1</v>
      </c>
      <c r="B41" s="8" t="s">
        <v>9</v>
      </c>
      <c r="C41" s="5" t="s">
        <v>35</v>
      </c>
      <c r="D41" s="6">
        <v>1</v>
      </c>
      <c r="E41" s="6">
        <v>2.82</v>
      </c>
      <c r="F41" s="20">
        <f t="shared" si="0"/>
        <v>4.2328656716417941</v>
      </c>
      <c r="G41" s="20">
        <f>E41-F41</f>
        <v>-1.4128656716417942</v>
      </c>
      <c r="H41" s="6">
        <v>443</v>
      </c>
      <c r="I41" s="8" t="s">
        <v>11</v>
      </c>
      <c r="J41" s="5"/>
    </row>
    <row r="42" spans="1:10">
      <c r="A42" s="8">
        <v>1</v>
      </c>
      <c r="B42" s="8" t="s">
        <v>9</v>
      </c>
      <c r="C42" s="5" t="s">
        <v>35</v>
      </c>
      <c r="D42" s="6">
        <v>1</v>
      </c>
      <c r="E42" s="8">
        <v>3.95</v>
      </c>
      <c r="F42" s="20">
        <f t="shared" si="0"/>
        <v>4.2328656716417941</v>
      </c>
      <c r="G42" s="20">
        <f>E42-F42</f>
        <v>-0.28286567164179388</v>
      </c>
      <c r="H42" s="8">
        <v>24</v>
      </c>
      <c r="I42" s="8" t="s">
        <v>11</v>
      </c>
      <c r="J42" s="5"/>
    </row>
    <row r="43" spans="1:10" s="11" customFormat="1">
      <c r="A43" s="8">
        <v>1</v>
      </c>
      <c r="B43" s="8" t="s">
        <v>9</v>
      </c>
      <c r="C43" s="5" t="s">
        <v>36</v>
      </c>
      <c r="D43" s="6">
        <v>1</v>
      </c>
      <c r="E43" s="8">
        <v>9.09</v>
      </c>
      <c r="F43" s="20">
        <f t="shared" si="0"/>
        <v>4.2328656716417941</v>
      </c>
      <c r="G43" s="20">
        <f>E43-F43</f>
        <v>4.8571343283582058</v>
      </c>
      <c r="H43" s="8">
        <v>120</v>
      </c>
      <c r="I43" s="8" t="s">
        <v>11</v>
      </c>
      <c r="J43" s="5"/>
    </row>
    <row r="44" spans="1:10">
      <c r="A44" s="8">
        <v>1</v>
      </c>
      <c r="B44" s="8" t="s">
        <v>9</v>
      </c>
      <c r="C44" s="5" t="s">
        <v>36</v>
      </c>
      <c r="D44" s="6">
        <v>1</v>
      </c>
      <c r="E44" s="8">
        <v>6.13</v>
      </c>
      <c r="F44" s="20">
        <f t="shared" si="0"/>
        <v>4.2328656716417941</v>
      </c>
      <c r="G44" s="20">
        <f>E44-F44</f>
        <v>1.8971343283582058</v>
      </c>
      <c r="H44" s="8">
        <v>151</v>
      </c>
      <c r="I44" s="8" t="s">
        <v>11</v>
      </c>
      <c r="J44" s="5"/>
    </row>
    <row r="45" spans="1:10" s="11" customFormat="1">
      <c r="A45" s="8">
        <v>1</v>
      </c>
      <c r="B45" s="8" t="s">
        <v>9</v>
      </c>
      <c r="C45" s="5" t="s">
        <v>37</v>
      </c>
      <c r="D45" s="6">
        <v>1</v>
      </c>
      <c r="E45" s="6">
        <v>5.36</v>
      </c>
      <c r="F45" s="20">
        <f t="shared" si="0"/>
        <v>4.2328656716417941</v>
      </c>
      <c r="G45" s="20">
        <f>E45-F45</f>
        <v>1.1271343283582063</v>
      </c>
      <c r="H45" s="6">
        <v>176</v>
      </c>
      <c r="I45" s="8" t="s">
        <v>11</v>
      </c>
      <c r="J45" s="5"/>
    </row>
    <row r="46" spans="1:10" s="11" customFormat="1">
      <c r="A46" s="8">
        <v>1</v>
      </c>
      <c r="B46" s="8" t="s">
        <v>9</v>
      </c>
      <c r="C46" s="5" t="s">
        <v>37</v>
      </c>
      <c r="D46" s="6">
        <v>1</v>
      </c>
      <c r="E46" s="6">
        <v>4.3099999999999996</v>
      </c>
      <c r="F46" s="20">
        <f t="shared" si="0"/>
        <v>4.2328656716417941</v>
      </c>
      <c r="G46" s="20">
        <f>E46-F46</f>
        <v>7.7134328358205551E-2</v>
      </c>
      <c r="H46" s="6">
        <v>72</v>
      </c>
      <c r="I46" s="8" t="s">
        <v>11</v>
      </c>
      <c r="J46" s="5"/>
    </row>
    <row r="47" spans="1:10">
      <c r="A47" s="8">
        <v>1</v>
      </c>
      <c r="B47" s="8" t="s">
        <v>9</v>
      </c>
      <c r="C47" s="5" t="s">
        <v>38</v>
      </c>
      <c r="D47" s="6">
        <v>1</v>
      </c>
      <c r="E47" s="6">
        <v>0.8</v>
      </c>
      <c r="F47" s="20">
        <f t="shared" si="0"/>
        <v>4.2328656716417941</v>
      </c>
      <c r="G47" s="20">
        <f>E47-F47</f>
        <v>-3.4328656716417942</v>
      </c>
      <c r="H47" s="6">
        <v>698</v>
      </c>
      <c r="I47" s="8" t="s">
        <v>11</v>
      </c>
      <c r="J47" s="5"/>
    </row>
    <row r="48" spans="1:10" s="11" customFormat="1">
      <c r="A48" s="8">
        <v>1</v>
      </c>
      <c r="B48" s="8" t="s">
        <v>9</v>
      </c>
      <c r="C48" s="5" t="s">
        <v>38</v>
      </c>
      <c r="D48" s="6">
        <v>1</v>
      </c>
      <c r="E48" s="6">
        <v>1.43</v>
      </c>
      <c r="F48" s="20">
        <f t="shared" si="0"/>
        <v>4.2328656716417941</v>
      </c>
      <c r="G48" s="20">
        <f>E48-F48</f>
        <v>-2.8028656716417943</v>
      </c>
      <c r="H48" s="6">
        <v>67</v>
      </c>
      <c r="I48" s="8" t="s">
        <v>11</v>
      </c>
      <c r="J48" s="5"/>
    </row>
    <row r="49" spans="1:10">
      <c r="A49" s="8">
        <v>1</v>
      </c>
      <c r="B49" s="8" t="s">
        <v>9</v>
      </c>
      <c r="C49" s="5" t="s">
        <v>39</v>
      </c>
      <c r="D49" s="6">
        <v>1</v>
      </c>
      <c r="E49" s="8">
        <v>0</v>
      </c>
      <c r="F49" s="20">
        <f t="shared" si="0"/>
        <v>4.2328656716417941</v>
      </c>
      <c r="G49" s="20">
        <f>E49-F49</f>
        <v>-4.2328656716417941</v>
      </c>
      <c r="H49" s="8">
        <v>1</v>
      </c>
      <c r="I49" s="8" t="s">
        <v>11</v>
      </c>
      <c r="J49" s="5"/>
    </row>
    <row r="50" spans="1:10" s="11" customFormat="1">
      <c r="A50" s="8">
        <v>1</v>
      </c>
      <c r="B50" s="8" t="s">
        <v>9</v>
      </c>
      <c r="C50" s="5" t="s">
        <v>39</v>
      </c>
      <c r="D50" s="6">
        <v>1</v>
      </c>
      <c r="E50" s="8">
        <v>1.3</v>
      </c>
      <c r="F50" s="20">
        <f t="shared" si="0"/>
        <v>4.2328656716417941</v>
      </c>
      <c r="G50" s="20">
        <f>E50-F50</f>
        <v>-2.9328656716417942</v>
      </c>
      <c r="H50" s="8">
        <v>21</v>
      </c>
      <c r="I50" s="8" t="s">
        <v>11</v>
      </c>
      <c r="J50" s="5"/>
    </row>
    <row r="51" spans="1:10">
      <c r="A51" s="8">
        <v>1</v>
      </c>
      <c r="B51" s="8" t="s">
        <v>9</v>
      </c>
      <c r="C51" s="5" t="s">
        <v>40</v>
      </c>
      <c r="D51" s="6">
        <v>1</v>
      </c>
      <c r="E51" s="8">
        <v>23.17</v>
      </c>
      <c r="F51" s="20">
        <f t="shared" si="0"/>
        <v>4.2328656716417941</v>
      </c>
      <c r="G51" s="20">
        <f>E51-F51</f>
        <v>18.937134328358209</v>
      </c>
      <c r="H51" s="8">
        <v>237</v>
      </c>
      <c r="I51" s="8" t="s">
        <v>11</v>
      </c>
      <c r="J51" s="5"/>
    </row>
    <row r="52" spans="1:10" s="11" customFormat="1">
      <c r="A52" s="8">
        <v>1</v>
      </c>
      <c r="B52" s="8" t="s">
        <v>9</v>
      </c>
      <c r="C52" s="5" t="s">
        <v>40</v>
      </c>
      <c r="D52" s="6">
        <v>1</v>
      </c>
      <c r="E52" s="6">
        <v>5.28</v>
      </c>
      <c r="F52" s="20">
        <f t="shared" si="0"/>
        <v>4.2328656716417941</v>
      </c>
      <c r="G52" s="20">
        <f>E52-F52</f>
        <v>1.0471343283582062</v>
      </c>
      <c r="H52" s="6">
        <v>280</v>
      </c>
      <c r="I52" s="8" t="s">
        <v>11</v>
      </c>
      <c r="J52" s="5"/>
    </row>
    <row r="53" spans="1:10" s="11" customFormat="1">
      <c r="A53" s="8">
        <v>1</v>
      </c>
      <c r="B53" s="8" t="s">
        <v>9</v>
      </c>
      <c r="C53" s="5" t="s">
        <v>41</v>
      </c>
      <c r="D53" s="6">
        <v>1</v>
      </c>
      <c r="E53" s="6">
        <v>48.01</v>
      </c>
      <c r="F53" s="20">
        <f t="shared" si="0"/>
        <v>4.2328656716417941</v>
      </c>
      <c r="G53" s="20">
        <f>E53-F53</f>
        <v>43.777134328358201</v>
      </c>
      <c r="H53" s="6">
        <v>23</v>
      </c>
      <c r="I53" s="8" t="s">
        <v>11</v>
      </c>
      <c r="J53" s="5"/>
    </row>
    <row r="54" spans="1:10">
      <c r="A54" s="8">
        <v>1</v>
      </c>
      <c r="B54" s="8" t="s">
        <v>9</v>
      </c>
      <c r="C54" s="5" t="s">
        <v>41</v>
      </c>
      <c r="D54" s="6">
        <v>1</v>
      </c>
      <c r="E54" s="6">
        <v>16.12</v>
      </c>
      <c r="F54" s="20">
        <f t="shared" si="0"/>
        <v>4.2328656716417941</v>
      </c>
      <c r="G54" s="20">
        <f>E54-F54</f>
        <v>11.887134328358208</v>
      </c>
      <c r="H54" s="6">
        <v>38</v>
      </c>
      <c r="I54" s="8" t="s">
        <v>11</v>
      </c>
      <c r="J54" s="5"/>
    </row>
    <row r="55" spans="1:10" s="11" customFormat="1">
      <c r="A55" s="8">
        <v>1</v>
      </c>
      <c r="B55" s="8" t="s">
        <v>9</v>
      </c>
      <c r="C55" s="5" t="s">
        <v>42</v>
      </c>
      <c r="D55" s="6">
        <v>1</v>
      </c>
      <c r="E55" s="6">
        <v>11.58</v>
      </c>
      <c r="F55" s="20">
        <f t="shared" si="0"/>
        <v>4.2328656716417941</v>
      </c>
      <c r="G55" s="20">
        <f>E55-F55</f>
        <v>7.347134328358206</v>
      </c>
      <c r="H55" s="6">
        <v>30</v>
      </c>
      <c r="I55" s="8" t="s">
        <v>11</v>
      </c>
      <c r="J55" s="5"/>
    </row>
    <row r="56" spans="1:10">
      <c r="A56" s="8">
        <v>1</v>
      </c>
      <c r="B56" s="8" t="s">
        <v>9</v>
      </c>
      <c r="C56" s="5" t="s">
        <v>42</v>
      </c>
      <c r="D56" s="6">
        <v>1</v>
      </c>
      <c r="E56" s="8">
        <v>2.27</v>
      </c>
      <c r="F56" s="20">
        <f t="shared" si="0"/>
        <v>4.2328656716417941</v>
      </c>
      <c r="G56" s="20">
        <f>E56-F56</f>
        <v>-1.962865671641794</v>
      </c>
      <c r="H56" s="8">
        <v>42</v>
      </c>
      <c r="I56" s="8" t="s">
        <v>11</v>
      </c>
      <c r="J56" s="5"/>
    </row>
    <row r="57" spans="1:10" s="11" customFormat="1">
      <c r="A57" s="8">
        <v>1</v>
      </c>
      <c r="B57" s="8" t="s">
        <v>9</v>
      </c>
      <c r="C57" s="5" t="s">
        <v>43</v>
      </c>
      <c r="D57" s="6">
        <v>1</v>
      </c>
      <c r="E57" s="8">
        <v>2.58</v>
      </c>
      <c r="F57" s="20">
        <f t="shared" si="0"/>
        <v>4.2328656716417941</v>
      </c>
      <c r="G57" s="20">
        <f>E57-F57</f>
        <v>-1.652865671641794</v>
      </c>
      <c r="H57" s="8">
        <v>140</v>
      </c>
      <c r="I57" s="8" t="s">
        <v>11</v>
      </c>
      <c r="J57" s="5"/>
    </row>
    <row r="58" spans="1:10">
      <c r="A58" s="8">
        <v>1</v>
      </c>
      <c r="B58" s="8" t="s">
        <v>9</v>
      </c>
      <c r="C58" s="5" t="s">
        <v>43</v>
      </c>
      <c r="D58" s="6">
        <v>1</v>
      </c>
      <c r="E58" s="8">
        <v>3.75</v>
      </c>
      <c r="F58" s="20">
        <f t="shared" si="0"/>
        <v>4.2328656716417941</v>
      </c>
      <c r="G58" s="20">
        <f>E58-F58</f>
        <v>-0.48286567164179406</v>
      </c>
      <c r="H58" s="8">
        <v>42</v>
      </c>
      <c r="I58" s="8" t="s">
        <v>11</v>
      </c>
      <c r="J58" s="5"/>
    </row>
    <row r="59" spans="1:10" s="11" customFormat="1">
      <c r="A59" s="8">
        <v>1</v>
      </c>
      <c r="B59" s="8" t="s">
        <v>9</v>
      </c>
      <c r="C59" s="5" t="s">
        <v>44</v>
      </c>
      <c r="D59" s="6">
        <v>1</v>
      </c>
      <c r="E59" s="6">
        <v>10.69</v>
      </c>
      <c r="F59" s="20">
        <f t="shared" si="0"/>
        <v>4.2328656716417941</v>
      </c>
      <c r="G59" s="20">
        <f>E59-F59</f>
        <v>6.4571343283582054</v>
      </c>
      <c r="H59" s="6">
        <v>309</v>
      </c>
      <c r="I59" s="8" t="s">
        <v>11</v>
      </c>
      <c r="J59" s="5"/>
    </row>
    <row r="60" spans="1:10" s="11" customFormat="1">
      <c r="A60" s="8">
        <v>1</v>
      </c>
      <c r="B60" s="8" t="s">
        <v>9</v>
      </c>
      <c r="C60" s="5" t="s">
        <v>45</v>
      </c>
      <c r="D60" s="6">
        <v>1</v>
      </c>
      <c r="E60" s="6">
        <v>17.399999999999999</v>
      </c>
      <c r="F60" s="20">
        <f t="shared" si="0"/>
        <v>4.2328656716417941</v>
      </c>
      <c r="G60" s="20">
        <f>E60-F60</f>
        <v>13.167134328358205</v>
      </c>
      <c r="H60" s="6">
        <v>32</v>
      </c>
      <c r="I60" s="8" t="s">
        <v>11</v>
      </c>
      <c r="J60" s="5"/>
    </row>
    <row r="61" spans="1:10">
      <c r="A61" s="8">
        <v>1</v>
      </c>
      <c r="B61" s="8" t="s">
        <v>9</v>
      </c>
      <c r="C61" s="5" t="s">
        <v>46</v>
      </c>
      <c r="D61" s="6">
        <v>1</v>
      </c>
      <c r="E61" s="6">
        <v>0</v>
      </c>
      <c r="F61" s="20">
        <f t="shared" si="0"/>
        <v>4.2328656716417941</v>
      </c>
      <c r="G61" s="20">
        <f>E61-F61</f>
        <v>-4.2328656716417941</v>
      </c>
      <c r="H61" s="6">
        <v>194</v>
      </c>
      <c r="I61" s="8" t="s">
        <v>11</v>
      </c>
      <c r="J61" s="5"/>
    </row>
    <row r="62" spans="1:10" s="11" customFormat="1">
      <c r="A62" s="8">
        <v>1</v>
      </c>
      <c r="B62" s="8" t="s">
        <v>9</v>
      </c>
      <c r="C62" s="5" t="s">
        <v>47</v>
      </c>
      <c r="D62" s="6">
        <v>1</v>
      </c>
      <c r="E62" s="6">
        <v>2.23</v>
      </c>
      <c r="F62" s="20">
        <f t="shared" si="0"/>
        <v>4.2328656716417941</v>
      </c>
      <c r="G62" s="20">
        <f>E62-F62</f>
        <v>-2.0028656716417941</v>
      </c>
      <c r="H62" s="6">
        <v>458</v>
      </c>
      <c r="I62" s="8" t="s">
        <v>11</v>
      </c>
      <c r="J62" s="5"/>
    </row>
    <row r="63" spans="1:10">
      <c r="A63" s="8">
        <v>1</v>
      </c>
      <c r="B63" s="8" t="s">
        <v>9</v>
      </c>
      <c r="C63" s="5" t="s">
        <v>48</v>
      </c>
      <c r="D63" s="6">
        <v>1</v>
      </c>
      <c r="E63" s="8">
        <v>1.07</v>
      </c>
      <c r="F63" s="20">
        <f t="shared" si="0"/>
        <v>4.2328656716417941</v>
      </c>
      <c r="G63" s="20">
        <f>E63-F63</f>
        <v>-3.1628656716417938</v>
      </c>
      <c r="H63" s="8">
        <v>348</v>
      </c>
      <c r="I63" s="8" t="s">
        <v>11</v>
      </c>
      <c r="J63" s="5"/>
    </row>
    <row r="64" spans="1:10" s="11" customFormat="1">
      <c r="A64" s="8">
        <v>1</v>
      </c>
      <c r="B64" s="8" t="s">
        <v>9</v>
      </c>
      <c r="C64" s="5" t="s">
        <v>48</v>
      </c>
      <c r="D64" s="6">
        <v>1</v>
      </c>
      <c r="E64" s="8">
        <v>0.41</v>
      </c>
      <c r="F64" s="20">
        <f t="shared" si="0"/>
        <v>4.2328656716417941</v>
      </c>
      <c r="G64" s="20">
        <f>E64-F64</f>
        <v>-3.8228656716417939</v>
      </c>
      <c r="H64" s="8">
        <v>75</v>
      </c>
      <c r="I64" s="8" t="s">
        <v>11</v>
      </c>
      <c r="J64" s="5"/>
    </row>
    <row r="65" spans="1:10">
      <c r="A65" s="8">
        <v>1</v>
      </c>
      <c r="B65" s="8" t="s">
        <v>9</v>
      </c>
      <c r="C65" s="5" t="s">
        <v>49</v>
      </c>
      <c r="D65" s="6">
        <v>1</v>
      </c>
      <c r="E65" s="8">
        <v>1.27</v>
      </c>
      <c r="F65" s="20">
        <f t="shared" si="0"/>
        <v>4.2328656716417941</v>
      </c>
      <c r="G65" s="20">
        <f>E65-F65</f>
        <v>-2.962865671641794</v>
      </c>
      <c r="H65" s="8">
        <v>49</v>
      </c>
      <c r="I65" s="8" t="s">
        <v>11</v>
      </c>
      <c r="J65" s="5"/>
    </row>
    <row r="66" spans="1:10" s="11" customFormat="1">
      <c r="A66" s="8">
        <v>1</v>
      </c>
      <c r="B66" s="8" t="s">
        <v>9</v>
      </c>
      <c r="C66" s="5" t="s">
        <v>49</v>
      </c>
      <c r="D66" s="6">
        <v>1</v>
      </c>
      <c r="E66" s="6">
        <v>0</v>
      </c>
      <c r="F66" s="20">
        <f t="shared" ref="F66:F129" si="1">AVERAGE(E$2:E$336)</f>
        <v>4.2328656716417941</v>
      </c>
      <c r="G66" s="20">
        <f>E66-F66</f>
        <v>-4.2328656716417941</v>
      </c>
      <c r="H66" s="6">
        <v>21</v>
      </c>
      <c r="I66" s="8" t="s">
        <v>11</v>
      </c>
      <c r="J66" s="5"/>
    </row>
    <row r="67" spans="1:10" s="11" customFormat="1">
      <c r="A67" s="8">
        <v>1</v>
      </c>
      <c r="B67" s="8" t="s">
        <v>9</v>
      </c>
      <c r="C67" s="5" t="s">
        <v>50</v>
      </c>
      <c r="D67" s="6">
        <v>1</v>
      </c>
      <c r="E67" s="6">
        <v>2.6</v>
      </c>
      <c r="F67" s="20">
        <f t="shared" si="1"/>
        <v>4.2328656716417941</v>
      </c>
      <c r="G67" s="20">
        <f>E67-F67</f>
        <v>-1.632865671641794</v>
      </c>
      <c r="H67" s="6">
        <v>159</v>
      </c>
      <c r="I67" s="8" t="s">
        <v>11</v>
      </c>
      <c r="J67" s="5"/>
    </row>
    <row r="68" spans="1:10">
      <c r="A68" s="8">
        <v>1</v>
      </c>
      <c r="B68" s="8" t="s">
        <v>9</v>
      </c>
      <c r="C68" s="5" t="s">
        <v>50</v>
      </c>
      <c r="D68" s="6">
        <v>1</v>
      </c>
      <c r="E68" s="6">
        <v>0</v>
      </c>
      <c r="F68" s="20">
        <f t="shared" si="1"/>
        <v>4.2328656716417941</v>
      </c>
      <c r="G68" s="20">
        <f>E68-F68</f>
        <v>-4.2328656716417941</v>
      </c>
      <c r="H68" s="6">
        <v>22</v>
      </c>
      <c r="I68" s="8" t="s">
        <v>11</v>
      </c>
      <c r="J68" s="5"/>
    </row>
    <row r="69" spans="1:10" s="11" customFormat="1">
      <c r="A69" s="8">
        <v>1</v>
      </c>
      <c r="B69" s="8" t="s">
        <v>9</v>
      </c>
      <c r="C69" s="5" t="s">
        <v>51</v>
      </c>
      <c r="D69" s="6">
        <v>1</v>
      </c>
      <c r="E69" s="6">
        <v>1.24</v>
      </c>
      <c r="F69" s="20">
        <f t="shared" si="1"/>
        <v>4.2328656716417941</v>
      </c>
      <c r="G69" s="20">
        <f>E69-F69</f>
        <v>-2.9928656716417938</v>
      </c>
      <c r="H69" s="6">
        <v>437</v>
      </c>
      <c r="I69" s="8" t="s">
        <v>11</v>
      </c>
      <c r="J69" s="5"/>
    </row>
    <row r="70" spans="1:10">
      <c r="A70" s="8">
        <v>1</v>
      </c>
      <c r="B70" s="8" t="s">
        <v>9</v>
      </c>
      <c r="C70" s="5" t="s">
        <v>52</v>
      </c>
      <c r="D70" s="6">
        <v>1</v>
      </c>
      <c r="E70" s="8">
        <v>12.27</v>
      </c>
      <c r="F70" s="20">
        <f t="shared" si="1"/>
        <v>4.2328656716417941</v>
      </c>
      <c r="G70" s="20">
        <f>E70-F70</f>
        <v>8.0371343283582064</v>
      </c>
      <c r="H70" s="8">
        <v>391</v>
      </c>
      <c r="I70" s="8" t="s">
        <v>11</v>
      </c>
      <c r="J70" s="5"/>
    </row>
    <row r="71" spans="1:10" s="11" customFormat="1">
      <c r="A71" s="8">
        <v>1</v>
      </c>
      <c r="B71" s="8" t="s">
        <v>9</v>
      </c>
      <c r="C71" s="5" t="s">
        <v>53</v>
      </c>
      <c r="D71" s="6">
        <v>1</v>
      </c>
      <c r="E71" s="8">
        <v>7.99</v>
      </c>
      <c r="F71" s="20">
        <f t="shared" si="1"/>
        <v>4.2328656716417941</v>
      </c>
      <c r="G71" s="20">
        <f>E71-F71</f>
        <v>3.7571343283582062</v>
      </c>
      <c r="H71" s="8">
        <v>50</v>
      </c>
      <c r="I71" s="8" t="s">
        <v>11</v>
      </c>
      <c r="J71" s="5"/>
    </row>
    <row r="72" spans="1:10">
      <c r="A72" s="8">
        <v>1</v>
      </c>
      <c r="B72" s="8" t="s">
        <v>9</v>
      </c>
      <c r="C72" s="5" t="s">
        <v>53</v>
      </c>
      <c r="D72" s="6">
        <v>1</v>
      </c>
      <c r="E72" s="8">
        <v>3.16</v>
      </c>
      <c r="F72" s="20">
        <f t="shared" si="1"/>
        <v>4.2328656716417941</v>
      </c>
      <c r="G72" s="20">
        <f>E72-F72</f>
        <v>-1.0728656716417939</v>
      </c>
      <c r="H72" s="8">
        <v>61</v>
      </c>
      <c r="I72" s="8" t="s">
        <v>11</v>
      </c>
      <c r="J72" s="5"/>
    </row>
    <row r="73" spans="1:10" s="11" customFormat="1">
      <c r="A73" s="8">
        <v>1</v>
      </c>
      <c r="B73" s="8" t="s">
        <v>9</v>
      </c>
      <c r="C73" s="5" t="s">
        <v>54</v>
      </c>
      <c r="D73" s="6">
        <v>1</v>
      </c>
      <c r="E73" s="6">
        <v>4.1100000000000003</v>
      </c>
      <c r="F73" s="20">
        <f t="shared" si="1"/>
        <v>4.2328656716417941</v>
      </c>
      <c r="G73" s="20">
        <f>E73-F73</f>
        <v>-0.12286567164179374</v>
      </c>
      <c r="H73" s="6">
        <v>460</v>
      </c>
      <c r="I73" s="8" t="s">
        <v>11</v>
      </c>
      <c r="J73" s="5"/>
    </row>
    <row r="74" spans="1:10" s="11" customFormat="1">
      <c r="A74" s="8">
        <v>1</v>
      </c>
      <c r="B74" s="8" t="s">
        <v>9</v>
      </c>
      <c r="C74" s="5" t="s">
        <v>54</v>
      </c>
      <c r="D74" s="6">
        <v>1</v>
      </c>
      <c r="E74" s="6">
        <v>2.38</v>
      </c>
      <c r="F74" s="20">
        <f t="shared" si="1"/>
        <v>4.2328656716417941</v>
      </c>
      <c r="G74" s="20">
        <f>E74-F74</f>
        <v>-1.8528656716417942</v>
      </c>
      <c r="H74" s="6">
        <v>255</v>
      </c>
      <c r="I74" s="8" t="s">
        <v>11</v>
      </c>
      <c r="J74" s="5"/>
    </row>
    <row r="75" spans="1:10">
      <c r="A75" s="8">
        <v>1</v>
      </c>
      <c r="B75" s="8" t="s">
        <v>9</v>
      </c>
      <c r="C75" s="5" t="s">
        <v>55</v>
      </c>
      <c r="D75" s="6">
        <v>1</v>
      </c>
      <c r="E75" s="6">
        <v>2.29</v>
      </c>
      <c r="F75" s="20">
        <f t="shared" si="1"/>
        <v>4.2328656716417941</v>
      </c>
      <c r="G75" s="20">
        <f>E75-F75</f>
        <v>-1.942865671641794</v>
      </c>
      <c r="H75" s="6">
        <v>1278</v>
      </c>
      <c r="I75" s="8" t="s">
        <v>11</v>
      </c>
      <c r="J75" s="5"/>
    </row>
    <row r="76" spans="1:10" s="11" customFormat="1">
      <c r="A76" s="8">
        <v>1</v>
      </c>
      <c r="B76" s="8" t="s">
        <v>9</v>
      </c>
      <c r="C76" s="5" t="s">
        <v>55</v>
      </c>
      <c r="D76" s="6">
        <v>1</v>
      </c>
      <c r="E76" s="6">
        <v>2.39</v>
      </c>
      <c r="F76" s="20">
        <f t="shared" si="1"/>
        <v>4.2328656716417941</v>
      </c>
      <c r="G76" s="20">
        <f>E76-F76</f>
        <v>-1.8428656716417939</v>
      </c>
      <c r="H76" s="6">
        <v>420</v>
      </c>
      <c r="I76" s="8" t="s">
        <v>11</v>
      </c>
      <c r="J76" s="5"/>
    </row>
    <row r="77" spans="1:10">
      <c r="A77" s="8">
        <v>1</v>
      </c>
      <c r="B77" s="8" t="s">
        <v>9</v>
      </c>
      <c r="C77" s="5" t="s">
        <v>56</v>
      </c>
      <c r="D77" s="6">
        <v>1</v>
      </c>
      <c r="E77" s="8">
        <v>0.86</v>
      </c>
      <c r="F77" s="20">
        <f t="shared" si="1"/>
        <v>4.2328656716417941</v>
      </c>
      <c r="G77" s="20">
        <f>E77-F77</f>
        <v>-3.3728656716417942</v>
      </c>
      <c r="H77" s="8">
        <v>1462</v>
      </c>
      <c r="I77" s="8" t="s">
        <v>11</v>
      </c>
      <c r="J77" s="5"/>
    </row>
    <row r="78" spans="1:10" s="11" customFormat="1">
      <c r="A78" s="8">
        <v>1</v>
      </c>
      <c r="B78" s="8" t="s">
        <v>9</v>
      </c>
      <c r="C78" s="5" t="s">
        <v>56</v>
      </c>
      <c r="D78" s="6">
        <v>1</v>
      </c>
      <c r="E78" s="8">
        <v>0.82</v>
      </c>
      <c r="F78" s="20">
        <f t="shared" si="1"/>
        <v>4.2328656716417941</v>
      </c>
      <c r="G78" s="20">
        <f>E78-F78</f>
        <v>-3.4128656716417942</v>
      </c>
      <c r="H78" s="8">
        <v>40</v>
      </c>
      <c r="I78" s="8" t="s">
        <v>11</v>
      </c>
      <c r="J78" s="5"/>
    </row>
    <row r="79" spans="1:10">
      <c r="A79" s="8">
        <v>1</v>
      </c>
      <c r="B79" s="8" t="s">
        <v>9</v>
      </c>
      <c r="C79" s="5" t="s">
        <v>57</v>
      </c>
      <c r="D79" s="6">
        <v>1</v>
      </c>
      <c r="E79" s="8">
        <v>20.2</v>
      </c>
      <c r="F79" s="20">
        <f t="shared" si="1"/>
        <v>4.2328656716417941</v>
      </c>
      <c r="G79" s="20">
        <f>E79-F79</f>
        <v>15.967134328358206</v>
      </c>
      <c r="H79" s="8">
        <v>553</v>
      </c>
      <c r="I79" s="8" t="s">
        <v>11</v>
      </c>
      <c r="J79" s="5"/>
    </row>
    <row r="80" spans="1:10" s="11" customFormat="1">
      <c r="A80" s="8">
        <v>1</v>
      </c>
      <c r="B80" s="8" t="s">
        <v>9</v>
      </c>
      <c r="C80" s="5" t="s">
        <v>57</v>
      </c>
      <c r="D80" s="6">
        <v>1</v>
      </c>
      <c r="E80" s="6">
        <v>12.35</v>
      </c>
      <c r="F80" s="20">
        <f t="shared" si="1"/>
        <v>4.2328656716417941</v>
      </c>
      <c r="G80" s="20">
        <f>E80-F80</f>
        <v>8.1171343283582047</v>
      </c>
      <c r="H80" s="6">
        <v>67</v>
      </c>
      <c r="I80" s="8" t="s">
        <v>11</v>
      </c>
      <c r="J80" s="5"/>
    </row>
    <row r="81" spans="1:10" s="11" customFormat="1">
      <c r="A81" s="8">
        <v>1</v>
      </c>
      <c r="B81" s="8" t="s">
        <v>9</v>
      </c>
      <c r="C81" s="5" t="s">
        <v>58</v>
      </c>
      <c r="D81" s="6">
        <v>1</v>
      </c>
      <c r="E81" s="6">
        <v>4.1399999999999997</v>
      </c>
      <c r="F81" s="20">
        <f t="shared" si="1"/>
        <v>4.2328656716417941</v>
      </c>
      <c r="G81" s="20">
        <f>E81-F81</f>
        <v>-9.2865671641794378E-2</v>
      </c>
      <c r="H81" s="6">
        <v>46</v>
      </c>
      <c r="I81" s="8" t="s">
        <v>11</v>
      </c>
      <c r="J81" s="5"/>
    </row>
    <row r="82" spans="1:10">
      <c r="A82" s="8">
        <v>1</v>
      </c>
      <c r="B82" s="8" t="s">
        <v>9</v>
      </c>
      <c r="C82" s="5" t="s">
        <v>59</v>
      </c>
      <c r="D82" s="6">
        <v>1</v>
      </c>
      <c r="E82" s="6">
        <v>0.61</v>
      </c>
      <c r="F82" s="20">
        <f t="shared" si="1"/>
        <v>4.2328656716417941</v>
      </c>
      <c r="G82" s="20">
        <f>E82-F82</f>
        <v>-3.6228656716417942</v>
      </c>
      <c r="H82" s="6">
        <v>50</v>
      </c>
      <c r="I82" s="8" t="s">
        <v>11</v>
      </c>
      <c r="J82" s="5"/>
    </row>
    <row r="83" spans="1:10" s="11" customFormat="1">
      <c r="A83" s="8">
        <v>1</v>
      </c>
      <c r="B83" s="8" t="s">
        <v>9</v>
      </c>
      <c r="C83" s="5" t="s">
        <v>60</v>
      </c>
      <c r="D83" s="6">
        <v>1</v>
      </c>
      <c r="E83" s="6">
        <v>0.66</v>
      </c>
      <c r="F83" s="20">
        <f t="shared" si="1"/>
        <v>4.2328656716417941</v>
      </c>
      <c r="G83" s="20">
        <f>E83-F83</f>
        <v>-3.5728656716417939</v>
      </c>
      <c r="H83" s="6">
        <v>934</v>
      </c>
      <c r="I83" s="8" t="s">
        <v>11</v>
      </c>
      <c r="J83" s="5"/>
    </row>
    <row r="84" spans="1:10">
      <c r="A84" s="8">
        <v>1</v>
      </c>
      <c r="B84" s="8" t="s">
        <v>9</v>
      </c>
      <c r="C84" s="5" t="s">
        <v>60</v>
      </c>
      <c r="D84" s="6">
        <v>1</v>
      </c>
      <c r="E84" s="8">
        <v>1.1100000000000001</v>
      </c>
      <c r="F84" s="20">
        <f t="shared" si="1"/>
        <v>4.2328656716417941</v>
      </c>
      <c r="G84" s="20">
        <f>E84-F84</f>
        <v>-3.1228656716417937</v>
      </c>
      <c r="H84" s="8">
        <v>28</v>
      </c>
      <c r="I84" s="8" t="s">
        <v>11</v>
      </c>
      <c r="J84" s="5"/>
    </row>
    <row r="85" spans="1:10" s="11" customFormat="1">
      <c r="A85" s="8">
        <v>1</v>
      </c>
      <c r="B85" s="8" t="s">
        <v>9</v>
      </c>
      <c r="C85" s="5" t="s">
        <v>61</v>
      </c>
      <c r="D85" s="6">
        <v>1</v>
      </c>
      <c r="E85" s="8">
        <v>6.87</v>
      </c>
      <c r="F85" s="20">
        <f t="shared" si="1"/>
        <v>4.2328656716417941</v>
      </c>
      <c r="G85" s="20">
        <f>E85-F85</f>
        <v>2.637134328358206</v>
      </c>
      <c r="H85" s="8">
        <v>63</v>
      </c>
      <c r="I85" s="8" t="s">
        <v>11</v>
      </c>
      <c r="J85" s="5"/>
    </row>
    <row r="86" spans="1:10">
      <c r="A86" s="8">
        <v>1</v>
      </c>
      <c r="B86" s="8" t="s">
        <v>9</v>
      </c>
      <c r="C86" s="5" t="s">
        <v>61</v>
      </c>
      <c r="D86" s="6">
        <v>1</v>
      </c>
      <c r="E86" s="8">
        <v>2.25</v>
      </c>
      <c r="F86" s="20">
        <f t="shared" si="1"/>
        <v>4.2328656716417941</v>
      </c>
      <c r="G86" s="20">
        <f>E86-F86</f>
        <v>-1.9828656716417941</v>
      </c>
      <c r="H86" s="8">
        <v>96</v>
      </c>
      <c r="I86" s="8" t="s">
        <v>11</v>
      </c>
      <c r="J86" s="5"/>
    </row>
    <row r="87" spans="1:10" s="11" customFormat="1">
      <c r="A87" s="8">
        <v>1</v>
      </c>
      <c r="B87" s="8" t="s">
        <v>9</v>
      </c>
      <c r="C87" s="5" t="s">
        <v>62</v>
      </c>
      <c r="D87" s="6">
        <v>1</v>
      </c>
      <c r="E87" s="6">
        <v>3.04</v>
      </c>
      <c r="F87" s="20">
        <f t="shared" si="1"/>
        <v>4.2328656716417941</v>
      </c>
      <c r="G87" s="20">
        <f>E87-F87</f>
        <v>-1.192865671641794</v>
      </c>
      <c r="H87" s="6">
        <v>11718</v>
      </c>
      <c r="I87" s="8" t="s">
        <v>11</v>
      </c>
      <c r="J87" s="5"/>
    </row>
    <row r="88" spans="1:10" s="11" customFormat="1">
      <c r="A88" s="8">
        <v>1</v>
      </c>
      <c r="B88" s="8" t="s">
        <v>9</v>
      </c>
      <c r="C88" s="5" t="s">
        <v>63</v>
      </c>
      <c r="D88" s="6">
        <v>1</v>
      </c>
      <c r="E88" s="6">
        <v>2.61</v>
      </c>
      <c r="F88" s="20">
        <f t="shared" si="1"/>
        <v>4.2328656716417941</v>
      </c>
      <c r="G88" s="20">
        <f>E88-F88</f>
        <v>-1.6228656716417942</v>
      </c>
      <c r="H88" s="6">
        <v>39</v>
      </c>
      <c r="I88" s="8" t="s">
        <v>11</v>
      </c>
      <c r="J88" s="5"/>
    </row>
    <row r="89" spans="1:10">
      <c r="A89" s="8">
        <v>1</v>
      </c>
      <c r="B89" s="8" t="s">
        <v>9</v>
      </c>
      <c r="C89" s="5" t="s">
        <v>64</v>
      </c>
      <c r="D89" s="6">
        <v>1</v>
      </c>
      <c r="E89" s="6">
        <v>5.79</v>
      </c>
      <c r="F89" s="20">
        <f t="shared" si="1"/>
        <v>4.2328656716417941</v>
      </c>
      <c r="G89" s="20">
        <f>E89-F89</f>
        <v>1.557134328358206</v>
      </c>
      <c r="H89" s="6">
        <v>23</v>
      </c>
      <c r="I89" s="8" t="s">
        <v>11</v>
      </c>
      <c r="J89" s="5"/>
    </row>
    <row r="90" spans="1:10" s="11" customFormat="1">
      <c r="A90" s="8">
        <v>1</v>
      </c>
      <c r="B90" s="8" t="s">
        <v>9</v>
      </c>
      <c r="C90" s="5" t="s">
        <v>64</v>
      </c>
      <c r="D90" s="6">
        <v>1</v>
      </c>
      <c r="E90" s="6">
        <v>0</v>
      </c>
      <c r="F90" s="20">
        <f t="shared" si="1"/>
        <v>4.2328656716417941</v>
      </c>
      <c r="G90" s="20">
        <f>E90-F90</f>
        <v>-4.2328656716417941</v>
      </c>
      <c r="H90" s="6">
        <v>33</v>
      </c>
      <c r="I90" s="8" t="s">
        <v>11</v>
      </c>
      <c r="J90" s="5"/>
    </row>
    <row r="91" spans="1:10">
      <c r="A91" s="8">
        <v>1</v>
      </c>
      <c r="B91" s="8" t="s">
        <v>9</v>
      </c>
      <c r="C91" s="5" t="s">
        <v>65</v>
      </c>
      <c r="D91" s="6">
        <v>1</v>
      </c>
      <c r="E91" s="8">
        <v>0.7</v>
      </c>
      <c r="F91" s="20">
        <f t="shared" si="1"/>
        <v>4.2328656716417941</v>
      </c>
      <c r="G91" s="20">
        <f>E91-F91</f>
        <v>-3.5328656716417939</v>
      </c>
      <c r="H91" s="8">
        <v>1977</v>
      </c>
      <c r="I91" s="8" t="s">
        <v>11</v>
      </c>
      <c r="J91" s="5"/>
    </row>
    <row r="92" spans="1:10" s="11" customFormat="1">
      <c r="A92" s="8">
        <v>1</v>
      </c>
      <c r="B92" s="8" t="s">
        <v>9</v>
      </c>
      <c r="C92" s="5" t="s">
        <v>65</v>
      </c>
      <c r="D92" s="6">
        <v>1</v>
      </c>
      <c r="E92" s="8">
        <v>0.13</v>
      </c>
      <c r="F92" s="20">
        <f t="shared" si="1"/>
        <v>4.2328656716417941</v>
      </c>
      <c r="G92" s="20">
        <f>E92-F92</f>
        <v>-4.1028656716417942</v>
      </c>
      <c r="H92" s="8">
        <v>196</v>
      </c>
      <c r="I92" s="8" t="s">
        <v>11</v>
      </c>
      <c r="J92" s="5"/>
    </row>
    <row r="93" spans="1:10" s="11" customFormat="1">
      <c r="A93" s="8">
        <v>1</v>
      </c>
      <c r="B93" s="8" t="s">
        <v>9</v>
      </c>
      <c r="C93" s="5" t="s">
        <v>66</v>
      </c>
      <c r="D93" s="6">
        <v>1</v>
      </c>
      <c r="E93" s="6">
        <v>1.62</v>
      </c>
      <c r="F93" s="20">
        <f t="shared" si="1"/>
        <v>4.2328656716417941</v>
      </c>
      <c r="G93" s="20">
        <f>E93-F93</f>
        <v>-2.612865671641794</v>
      </c>
      <c r="H93" s="6">
        <v>22</v>
      </c>
      <c r="I93" s="8" t="s">
        <v>11</v>
      </c>
      <c r="J93" s="5"/>
    </row>
    <row r="94" spans="1:10" s="11" customFormat="1">
      <c r="A94" s="8">
        <v>1</v>
      </c>
      <c r="B94" s="8" t="s">
        <v>9</v>
      </c>
      <c r="C94" s="5" t="s">
        <v>67</v>
      </c>
      <c r="D94" s="6">
        <v>1</v>
      </c>
      <c r="E94" s="6">
        <v>7</v>
      </c>
      <c r="F94" s="20">
        <f t="shared" si="1"/>
        <v>4.2328656716417941</v>
      </c>
      <c r="G94" s="20">
        <f>E94-F94</f>
        <v>2.7671343283582059</v>
      </c>
      <c r="H94" s="6">
        <v>242</v>
      </c>
      <c r="I94" s="8" t="s">
        <v>11</v>
      </c>
      <c r="J94" s="5"/>
    </row>
    <row r="95" spans="1:10">
      <c r="A95" s="8">
        <v>1</v>
      </c>
      <c r="B95" s="8" t="s">
        <v>9</v>
      </c>
      <c r="C95" s="5" t="s">
        <v>67</v>
      </c>
      <c r="D95" s="6">
        <v>1</v>
      </c>
      <c r="E95" s="6">
        <v>3.31</v>
      </c>
      <c r="F95" s="20">
        <f t="shared" si="1"/>
        <v>4.2328656716417941</v>
      </c>
      <c r="G95" s="20">
        <f>E95-F95</f>
        <v>-0.92286567164179401</v>
      </c>
      <c r="H95" s="6">
        <v>47</v>
      </c>
      <c r="I95" s="8" t="s">
        <v>11</v>
      </c>
      <c r="J95" s="5"/>
    </row>
    <row r="96" spans="1:10" s="11" customFormat="1">
      <c r="A96" s="8">
        <v>1</v>
      </c>
      <c r="B96" s="8" t="s">
        <v>9</v>
      </c>
      <c r="C96" s="5" t="s">
        <v>68</v>
      </c>
      <c r="D96" s="6">
        <v>1</v>
      </c>
      <c r="E96" s="6">
        <v>3.58</v>
      </c>
      <c r="F96" s="20">
        <f t="shared" si="1"/>
        <v>4.2328656716417941</v>
      </c>
      <c r="G96" s="20">
        <f>E96-F96</f>
        <v>-0.65286567164179399</v>
      </c>
      <c r="H96" s="6">
        <v>309</v>
      </c>
      <c r="I96" s="8" t="s">
        <v>11</v>
      </c>
      <c r="J96" s="5"/>
    </row>
    <row r="97" spans="1:10">
      <c r="A97" s="8">
        <v>1</v>
      </c>
      <c r="B97" s="8" t="s">
        <v>9</v>
      </c>
      <c r="C97" s="5" t="s">
        <v>68</v>
      </c>
      <c r="D97" s="6">
        <v>1</v>
      </c>
      <c r="E97" s="8">
        <v>1.66</v>
      </c>
      <c r="F97" s="20">
        <f t="shared" si="1"/>
        <v>4.2328656716417941</v>
      </c>
      <c r="G97" s="20">
        <f>E97-F97</f>
        <v>-2.5728656716417939</v>
      </c>
      <c r="H97" s="8">
        <v>18</v>
      </c>
      <c r="I97" s="8" t="s">
        <v>11</v>
      </c>
      <c r="J97" s="5"/>
    </row>
    <row r="98" spans="1:10" s="11" customFormat="1">
      <c r="A98" s="8">
        <v>1</v>
      </c>
      <c r="B98" s="8" t="s">
        <v>9</v>
      </c>
      <c r="C98" s="5" t="s">
        <v>69</v>
      </c>
      <c r="D98" s="6">
        <v>1</v>
      </c>
      <c r="E98" s="8">
        <v>2.19</v>
      </c>
      <c r="F98" s="20">
        <f t="shared" si="1"/>
        <v>4.2328656716417941</v>
      </c>
      <c r="G98" s="20">
        <f>E98-F98</f>
        <v>-2.0428656716417941</v>
      </c>
      <c r="H98" s="8">
        <v>104</v>
      </c>
      <c r="I98" s="8" t="s">
        <v>11</v>
      </c>
      <c r="J98" s="5"/>
    </row>
    <row r="99" spans="1:10">
      <c r="A99" s="8">
        <v>1</v>
      </c>
      <c r="B99" s="8" t="s">
        <v>9</v>
      </c>
      <c r="C99" s="5" t="s">
        <v>70</v>
      </c>
      <c r="D99" s="6">
        <v>1</v>
      </c>
      <c r="E99" s="8">
        <v>1.39</v>
      </c>
      <c r="F99" s="20">
        <f t="shared" si="1"/>
        <v>4.2328656716417941</v>
      </c>
      <c r="G99" s="20">
        <f>E99-F99</f>
        <v>-2.8428656716417944</v>
      </c>
      <c r="H99" s="8">
        <v>725</v>
      </c>
      <c r="I99" s="8" t="s">
        <v>11</v>
      </c>
      <c r="J99" s="5"/>
    </row>
    <row r="100" spans="1:10" s="11" customFormat="1">
      <c r="A100" s="8">
        <v>1</v>
      </c>
      <c r="B100" s="8" t="s">
        <v>9</v>
      </c>
      <c r="C100" s="5" t="s">
        <v>70</v>
      </c>
      <c r="D100" s="6">
        <v>1</v>
      </c>
      <c r="E100" s="6">
        <v>3.47</v>
      </c>
      <c r="F100" s="20">
        <f t="shared" si="1"/>
        <v>4.2328656716417941</v>
      </c>
      <c r="G100" s="20">
        <f>E100-F100</f>
        <v>-0.76286567164179386</v>
      </c>
      <c r="H100" s="6">
        <v>78</v>
      </c>
      <c r="I100" s="8" t="s">
        <v>11</v>
      </c>
      <c r="J100" s="5"/>
    </row>
    <row r="101" spans="1:10" s="11" customFormat="1">
      <c r="A101" s="8">
        <v>1</v>
      </c>
      <c r="B101" s="8" t="s">
        <v>9</v>
      </c>
      <c r="C101" s="5" t="s">
        <v>71</v>
      </c>
      <c r="D101" s="6">
        <v>1</v>
      </c>
      <c r="E101" s="6">
        <v>0.94</v>
      </c>
      <c r="F101" s="20">
        <f t="shared" si="1"/>
        <v>4.2328656716417941</v>
      </c>
      <c r="G101" s="20">
        <f>E101-F101</f>
        <v>-3.2928656716417941</v>
      </c>
      <c r="H101" s="6">
        <v>940</v>
      </c>
      <c r="I101" s="8" t="s">
        <v>11</v>
      </c>
      <c r="J101" s="5"/>
    </row>
    <row r="102" spans="1:10">
      <c r="A102" s="8">
        <v>1</v>
      </c>
      <c r="B102" s="8" t="s">
        <v>9</v>
      </c>
      <c r="C102" s="5" t="s">
        <v>71</v>
      </c>
      <c r="D102" s="6">
        <v>1</v>
      </c>
      <c r="E102" s="6">
        <v>1.48</v>
      </c>
      <c r="F102" s="20">
        <f t="shared" si="1"/>
        <v>4.2328656716417941</v>
      </c>
      <c r="G102" s="20">
        <f>E102-F102</f>
        <v>-2.7528656716417941</v>
      </c>
      <c r="H102" s="6">
        <v>21</v>
      </c>
      <c r="I102" s="8" t="s">
        <v>11</v>
      </c>
      <c r="J102" s="5"/>
    </row>
    <row r="103" spans="1:10" s="11" customFormat="1">
      <c r="A103" s="8">
        <v>1</v>
      </c>
      <c r="B103" s="8" t="s">
        <v>9</v>
      </c>
      <c r="C103" s="5" t="s">
        <v>72</v>
      </c>
      <c r="D103" s="6">
        <v>1</v>
      </c>
      <c r="E103" s="6">
        <v>0.91</v>
      </c>
      <c r="F103" s="20">
        <f t="shared" si="1"/>
        <v>4.2328656716417941</v>
      </c>
      <c r="G103" s="20">
        <f>E103-F103</f>
        <v>-3.3228656716417939</v>
      </c>
      <c r="H103" s="6">
        <v>461</v>
      </c>
      <c r="I103" s="8" t="s">
        <v>11</v>
      </c>
      <c r="J103" s="5"/>
    </row>
    <row r="104" spans="1:10">
      <c r="A104" s="8">
        <v>1</v>
      </c>
      <c r="B104" s="8" t="s">
        <v>9</v>
      </c>
      <c r="C104" s="5" t="s">
        <v>72</v>
      </c>
      <c r="D104" s="6">
        <v>1</v>
      </c>
      <c r="E104" s="8">
        <v>1.92</v>
      </c>
      <c r="F104" s="20">
        <f t="shared" si="1"/>
        <v>4.2328656716417941</v>
      </c>
      <c r="G104" s="20">
        <f>E104-F104</f>
        <v>-2.3128656716417941</v>
      </c>
      <c r="H104" s="8">
        <v>48</v>
      </c>
      <c r="I104" s="8" t="s">
        <v>11</v>
      </c>
      <c r="J104" s="5"/>
    </row>
    <row r="105" spans="1:10" s="11" customFormat="1">
      <c r="A105" s="8">
        <v>1</v>
      </c>
      <c r="B105" s="8" t="s">
        <v>9</v>
      </c>
      <c r="C105" s="5" t="s">
        <v>73</v>
      </c>
      <c r="D105" s="6">
        <v>1</v>
      </c>
      <c r="E105" s="8">
        <v>2.23</v>
      </c>
      <c r="F105" s="20">
        <f t="shared" si="1"/>
        <v>4.2328656716417941</v>
      </c>
      <c r="G105" s="20">
        <f>E105-F105</f>
        <v>-2.0028656716417941</v>
      </c>
      <c r="H105" s="8">
        <v>1955</v>
      </c>
      <c r="I105" s="8" t="s">
        <v>11</v>
      </c>
      <c r="J105" s="5"/>
    </row>
    <row r="106" spans="1:10">
      <c r="A106" s="8">
        <v>1</v>
      </c>
      <c r="B106" s="8" t="s">
        <v>9</v>
      </c>
      <c r="C106" s="5" t="s">
        <v>73</v>
      </c>
      <c r="D106" s="6">
        <v>1</v>
      </c>
      <c r="E106" s="8">
        <v>3.44</v>
      </c>
      <c r="F106" s="20">
        <f t="shared" si="1"/>
        <v>4.2328656716417941</v>
      </c>
      <c r="G106" s="20">
        <f>E106-F106</f>
        <v>-0.79286567164179411</v>
      </c>
      <c r="H106" s="8">
        <v>133</v>
      </c>
      <c r="I106" s="8" t="s">
        <v>11</v>
      </c>
      <c r="J106" s="5"/>
    </row>
    <row r="107" spans="1:10" s="11" customFormat="1">
      <c r="A107" s="8">
        <v>1</v>
      </c>
      <c r="B107" s="8" t="s">
        <v>9</v>
      </c>
      <c r="C107" s="5" t="s">
        <v>74</v>
      </c>
      <c r="D107" s="6">
        <v>1</v>
      </c>
      <c r="E107" s="6">
        <v>1.05</v>
      </c>
      <c r="F107" s="20">
        <f t="shared" si="1"/>
        <v>4.2328656716417941</v>
      </c>
      <c r="G107" s="20">
        <f>E107-F107</f>
        <v>-3.1828656716417942</v>
      </c>
      <c r="H107" s="6">
        <v>22232</v>
      </c>
      <c r="I107" s="8" t="s">
        <v>11</v>
      </c>
      <c r="J107" s="5"/>
    </row>
    <row r="108" spans="1:10" s="11" customFormat="1">
      <c r="A108" s="8">
        <v>1</v>
      </c>
      <c r="B108" s="8" t="s">
        <v>9</v>
      </c>
      <c r="C108" s="5" t="s">
        <v>74</v>
      </c>
      <c r="D108" s="6">
        <v>1</v>
      </c>
      <c r="E108" s="6">
        <v>2.2200000000000002</v>
      </c>
      <c r="F108" s="20">
        <f t="shared" si="1"/>
        <v>4.2328656716417941</v>
      </c>
      <c r="G108" s="20">
        <f>E108-F108</f>
        <v>-2.0128656716417939</v>
      </c>
      <c r="H108" s="6">
        <v>1228</v>
      </c>
      <c r="I108" s="8" t="s">
        <v>11</v>
      </c>
      <c r="J108" s="5"/>
    </row>
    <row r="109" spans="1:10">
      <c r="A109" s="8">
        <v>1</v>
      </c>
      <c r="B109" s="8" t="s">
        <v>9</v>
      </c>
      <c r="C109" s="5" t="s">
        <v>75</v>
      </c>
      <c r="D109" s="6">
        <v>1</v>
      </c>
      <c r="E109" s="6">
        <v>1.19</v>
      </c>
      <c r="F109" s="20">
        <f t="shared" si="1"/>
        <v>4.2328656716417941</v>
      </c>
      <c r="G109" s="20">
        <f>E109-F109</f>
        <v>-3.0428656716417941</v>
      </c>
      <c r="H109" s="6">
        <v>24</v>
      </c>
      <c r="I109" s="8" t="s">
        <v>11</v>
      </c>
      <c r="J109" s="5"/>
    </row>
    <row r="110" spans="1:10" s="11" customFormat="1">
      <c r="A110" s="8">
        <v>1</v>
      </c>
      <c r="B110" s="8" t="s">
        <v>9</v>
      </c>
      <c r="C110" s="5" t="s">
        <v>75</v>
      </c>
      <c r="D110" s="6">
        <v>1</v>
      </c>
      <c r="E110" s="6">
        <v>3.85</v>
      </c>
      <c r="F110" s="20">
        <f t="shared" si="1"/>
        <v>4.2328656716417941</v>
      </c>
      <c r="G110" s="20">
        <f>E110-F110</f>
        <v>-0.38286567164179397</v>
      </c>
      <c r="H110" s="6">
        <v>42</v>
      </c>
      <c r="I110" s="8" t="s">
        <v>11</v>
      </c>
      <c r="J110" s="5"/>
    </row>
    <row r="111" spans="1:10">
      <c r="A111" s="8">
        <v>1</v>
      </c>
      <c r="B111" s="8" t="s">
        <v>9</v>
      </c>
      <c r="C111" s="5" t="s">
        <v>76</v>
      </c>
      <c r="D111" s="6">
        <v>1</v>
      </c>
      <c r="E111" s="8">
        <v>0.74</v>
      </c>
      <c r="F111" s="20">
        <f t="shared" si="1"/>
        <v>4.2328656716417941</v>
      </c>
      <c r="G111" s="20">
        <f>E111-F111</f>
        <v>-3.4928656716417938</v>
      </c>
      <c r="H111" s="8">
        <v>3577</v>
      </c>
      <c r="I111" s="8" t="s">
        <v>11</v>
      </c>
      <c r="J111" s="5"/>
    </row>
    <row r="112" spans="1:10" s="11" customFormat="1">
      <c r="A112" s="8">
        <v>1</v>
      </c>
      <c r="B112" s="8" t="s">
        <v>9</v>
      </c>
      <c r="C112" s="5" t="s">
        <v>76</v>
      </c>
      <c r="D112" s="6">
        <v>1</v>
      </c>
      <c r="E112" s="8">
        <v>4.88</v>
      </c>
      <c r="F112" s="20">
        <f t="shared" si="1"/>
        <v>4.2328656716417941</v>
      </c>
      <c r="G112" s="20">
        <f>E112-F112</f>
        <v>0.64713432835820583</v>
      </c>
      <c r="H112" s="8">
        <v>77</v>
      </c>
      <c r="I112" s="8" t="s">
        <v>11</v>
      </c>
      <c r="J112" s="5"/>
    </row>
    <row r="113" spans="1:10">
      <c r="A113" s="8">
        <v>1</v>
      </c>
      <c r="B113" s="8" t="s">
        <v>9</v>
      </c>
      <c r="C113" s="5" t="s">
        <v>77</v>
      </c>
      <c r="D113" s="6">
        <v>1</v>
      </c>
      <c r="E113" s="8">
        <v>0.73</v>
      </c>
      <c r="F113" s="20">
        <f t="shared" si="1"/>
        <v>4.2328656716417941</v>
      </c>
      <c r="G113" s="20">
        <f>E113-F113</f>
        <v>-3.5028656716417941</v>
      </c>
      <c r="H113" s="8">
        <v>629</v>
      </c>
      <c r="I113" s="8" t="s">
        <v>11</v>
      </c>
      <c r="J113" s="5"/>
    </row>
    <row r="114" spans="1:10" s="11" customFormat="1">
      <c r="A114" s="8">
        <v>1</v>
      </c>
      <c r="B114" s="8" t="s">
        <v>9</v>
      </c>
      <c r="C114" s="5" t="s">
        <v>77</v>
      </c>
      <c r="D114" s="6">
        <v>1</v>
      </c>
      <c r="E114" s="6">
        <v>0.73</v>
      </c>
      <c r="F114" s="20">
        <f t="shared" si="1"/>
        <v>4.2328656716417941</v>
      </c>
      <c r="G114" s="20">
        <f>E114-F114</f>
        <v>-3.5028656716417941</v>
      </c>
      <c r="H114" s="6">
        <v>23</v>
      </c>
      <c r="I114" s="8" t="s">
        <v>11</v>
      </c>
      <c r="J114" s="5"/>
    </row>
    <row r="115" spans="1:10" s="11" customFormat="1">
      <c r="A115" s="8">
        <v>1</v>
      </c>
      <c r="B115" s="8" t="s">
        <v>9</v>
      </c>
      <c r="C115" s="5" t="s">
        <v>78</v>
      </c>
      <c r="D115" s="6">
        <v>1</v>
      </c>
      <c r="E115" s="6">
        <v>2.11</v>
      </c>
      <c r="F115" s="20">
        <f t="shared" si="1"/>
        <v>4.2328656716417941</v>
      </c>
      <c r="G115" s="20">
        <f>E115-F115</f>
        <v>-2.1228656716417942</v>
      </c>
      <c r="H115" s="6">
        <v>71</v>
      </c>
      <c r="I115" s="8" t="s">
        <v>11</v>
      </c>
      <c r="J115" s="5"/>
    </row>
    <row r="116" spans="1:10">
      <c r="A116" s="8">
        <v>1</v>
      </c>
      <c r="B116" s="8" t="s">
        <v>9</v>
      </c>
      <c r="C116" s="5" t="s">
        <v>78</v>
      </c>
      <c r="D116" s="6">
        <v>1</v>
      </c>
      <c r="E116" s="6">
        <v>0</v>
      </c>
      <c r="F116" s="20">
        <f t="shared" si="1"/>
        <v>4.2328656716417941</v>
      </c>
      <c r="G116" s="20">
        <f>E116-F116</f>
        <v>-4.2328656716417941</v>
      </c>
      <c r="H116" s="6">
        <v>20</v>
      </c>
      <c r="I116" s="8" t="s">
        <v>11</v>
      </c>
      <c r="J116" s="5"/>
    </row>
    <row r="117" spans="1:10" s="11" customFormat="1">
      <c r="A117" s="8">
        <v>1</v>
      </c>
      <c r="B117" s="8" t="s">
        <v>9</v>
      </c>
      <c r="C117" s="5" t="s">
        <v>79</v>
      </c>
      <c r="D117" s="6">
        <v>1</v>
      </c>
      <c r="E117" s="6">
        <v>4.9400000000000004</v>
      </c>
      <c r="F117" s="20">
        <f t="shared" si="1"/>
        <v>4.2328656716417941</v>
      </c>
      <c r="G117" s="20">
        <f>E117-F117</f>
        <v>0.70713432835820633</v>
      </c>
      <c r="H117" s="6">
        <v>140</v>
      </c>
      <c r="I117" s="8" t="s">
        <v>11</v>
      </c>
      <c r="J117" s="5"/>
    </row>
    <row r="118" spans="1:10">
      <c r="A118" s="8">
        <v>1</v>
      </c>
      <c r="B118" s="8" t="s">
        <v>9</v>
      </c>
      <c r="C118" s="5" t="s">
        <v>79</v>
      </c>
      <c r="D118" s="6">
        <v>1</v>
      </c>
      <c r="E118" s="8">
        <v>1</v>
      </c>
      <c r="F118" s="20">
        <f t="shared" si="1"/>
        <v>4.2328656716417941</v>
      </c>
      <c r="G118" s="20">
        <f>E118-F118</f>
        <v>-3.2328656716417941</v>
      </c>
      <c r="H118" s="8">
        <v>90</v>
      </c>
      <c r="I118" s="8" t="s">
        <v>11</v>
      </c>
      <c r="J118" s="5"/>
    </row>
    <row r="119" spans="1:10" s="11" customFormat="1">
      <c r="A119" s="8">
        <v>1</v>
      </c>
      <c r="B119" s="8" t="s">
        <v>9</v>
      </c>
      <c r="C119" s="5" t="s">
        <v>80</v>
      </c>
      <c r="D119" s="6">
        <v>1</v>
      </c>
      <c r="E119" s="6">
        <v>0.75</v>
      </c>
      <c r="F119" s="20">
        <f t="shared" si="1"/>
        <v>4.2328656716417941</v>
      </c>
      <c r="G119" s="20">
        <f>E119-F119</f>
        <v>-3.4828656716417941</v>
      </c>
      <c r="H119" s="6">
        <v>45</v>
      </c>
      <c r="I119" s="8" t="s">
        <v>11</v>
      </c>
      <c r="J119" s="5"/>
    </row>
    <row r="120" spans="1:10">
      <c r="A120" s="8">
        <v>1</v>
      </c>
      <c r="B120" s="8" t="s">
        <v>9</v>
      </c>
      <c r="C120" s="5" t="s">
        <v>81</v>
      </c>
      <c r="D120" s="6">
        <v>1</v>
      </c>
      <c r="E120" s="6">
        <v>1.77</v>
      </c>
      <c r="F120" s="20">
        <f t="shared" si="1"/>
        <v>4.2328656716417941</v>
      </c>
      <c r="G120" s="20">
        <f>E120-F120</f>
        <v>-2.462865671641794</v>
      </c>
      <c r="H120" s="6">
        <v>1411</v>
      </c>
      <c r="I120" s="8" t="s">
        <v>11</v>
      </c>
      <c r="J120" s="5"/>
    </row>
    <row r="121" spans="1:10" s="11" customFormat="1">
      <c r="A121" s="8">
        <v>1</v>
      </c>
      <c r="B121" s="8" t="s">
        <v>9</v>
      </c>
      <c r="C121" s="5" t="s">
        <v>81</v>
      </c>
      <c r="D121" s="6">
        <v>1</v>
      </c>
      <c r="E121" s="6">
        <v>1.76</v>
      </c>
      <c r="F121" s="20">
        <f t="shared" si="1"/>
        <v>4.2328656716417941</v>
      </c>
      <c r="G121" s="20">
        <f>E121-F121</f>
        <v>-2.4728656716417943</v>
      </c>
      <c r="H121" s="6">
        <v>370</v>
      </c>
      <c r="I121" s="8" t="s">
        <v>11</v>
      </c>
      <c r="J121" s="5"/>
    </row>
    <row r="122" spans="1:10" s="11" customFormat="1">
      <c r="A122" s="8">
        <v>1</v>
      </c>
      <c r="B122" s="8" t="s">
        <v>9</v>
      </c>
      <c r="C122" s="5" t="s">
        <v>82</v>
      </c>
      <c r="D122" s="6">
        <v>1</v>
      </c>
      <c r="E122" s="8">
        <v>3.34</v>
      </c>
      <c r="F122" s="20">
        <f t="shared" si="1"/>
        <v>4.2328656716417941</v>
      </c>
      <c r="G122" s="20">
        <f>E122-F122</f>
        <v>-0.8928656716417942</v>
      </c>
      <c r="H122" s="8">
        <v>1453</v>
      </c>
      <c r="I122" s="8" t="s">
        <v>11</v>
      </c>
      <c r="J122" s="5"/>
    </row>
    <row r="123" spans="1:10">
      <c r="A123" s="8">
        <v>1</v>
      </c>
      <c r="B123" s="8" t="s">
        <v>9</v>
      </c>
      <c r="C123" s="5" t="s">
        <v>82</v>
      </c>
      <c r="D123" s="6">
        <v>1</v>
      </c>
      <c r="E123" s="8">
        <v>3.78</v>
      </c>
      <c r="F123" s="20">
        <f t="shared" si="1"/>
        <v>4.2328656716417941</v>
      </c>
      <c r="G123" s="20">
        <f>E123-F123</f>
        <v>-0.45286567164179425</v>
      </c>
      <c r="H123" s="8">
        <v>105</v>
      </c>
      <c r="I123" s="8" t="s">
        <v>11</v>
      </c>
      <c r="J123" s="5"/>
    </row>
    <row r="124" spans="1:10" s="11" customFormat="1">
      <c r="A124" s="8">
        <v>1</v>
      </c>
      <c r="B124" s="8" t="s">
        <v>9</v>
      </c>
      <c r="C124" s="5" t="s">
        <v>83</v>
      </c>
      <c r="D124" s="6">
        <v>1</v>
      </c>
      <c r="E124" s="6">
        <v>3.05</v>
      </c>
      <c r="F124" s="20">
        <f t="shared" si="1"/>
        <v>4.2328656716417941</v>
      </c>
      <c r="G124" s="20">
        <f>E124-F124</f>
        <v>-1.1828656716417942</v>
      </c>
      <c r="H124" s="6">
        <v>1302</v>
      </c>
      <c r="I124" s="8" t="s">
        <v>11</v>
      </c>
      <c r="J124" s="5"/>
    </row>
    <row r="125" spans="1:10">
      <c r="A125" s="8">
        <v>1</v>
      </c>
      <c r="B125" s="8" t="s">
        <v>9</v>
      </c>
      <c r="C125" s="5" t="s">
        <v>83</v>
      </c>
      <c r="D125" s="6">
        <v>1</v>
      </c>
      <c r="E125" s="8">
        <v>3.46</v>
      </c>
      <c r="F125" s="20">
        <f t="shared" si="1"/>
        <v>4.2328656716417941</v>
      </c>
      <c r="G125" s="20">
        <f>E125-F125</f>
        <v>-0.77286567164179409</v>
      </c>
      <c r="H125" s="8">
        <v>285</v>
      </c>
      <c r="I125" s="8" t="s">
        <v>11</v>
      </c>
      <c r="J125" s="5"/>
    </row>
    <row r="126" spans="1:10" s="11" customFormat="1">
      <c r="A126" s="8">
        <v>1</v>
      </c>
      <c r="B126" s="8" t="s">
        <v>9</v>
      </c>
      <c r="C126" s="5" t="s">
        <v>84</v>
      </c>
      <c r="D126" s="6">
        <v>1</v>
      </c>
      <c r="E126" s="8">
        <v>4.5199999999999996</v>
      </c>
      <c r="F126" s="20">
        <f t="shared" si="1"/>
        <v>4.2328656716417941</v>
      </c>
      <c r="G126" s="20">
        <f>E126-F126</f>
        <v>0.28713432835820552</v>
      </c>
      <c r="H126" s="8">
        <v>27</v>
      </c>
      <c r="I126" s="8" t="s">
        <v>11</v>
      </c>
      <c r="J126" s="5"/>
    </row>
    <row r="127" spans="1:10">
      <c r="A127" s="8">
        <v>1</v>
      </c>
      <c r="B127" s="8" t="s">
        <v>9</v>
      </c>
      <c r="C127" s="5" t="s">
        <v>84</v>
      </c>
      <c r="D127" s="6">
        <v>1</v>
      </c>
      <c r="E127" s="8">
        <v>0</v>
      </c>
      <c r="F127" s="20">
        <f t="shared" si="1"/>
        <v>4.2328656716417941</v>
      </c>
      <c r="G127" s="20">
        <f>E127-F127</f>
        <v>-4.2328656716417941</v>
      </c>
      <c r="H127" s="8">
        <v>28</v>
      </c>
      <c r="I127" s="8" t="s">
        <v>11</v>
      </c>
      <c r="J127" s="5"/>
    </row>
    <row r="128" spans="1:10" s="11" customFormat="1">
      <c r="A128" s="8">
        <v>1</v>
      </c>
      <c r="B128" s="8" t="s">
        <v>9</v>
      </c>
      <c r="C128" s="5" t="s">
        <v>85</v>
      </c>
      <c r="D128" s="6">
        <v>1</v>
      </c>
      <c r="E128" s="6">
        <v>1.2</v>
      </c>
      <c r="F128" s="20">
        <f t="shared" si="1"/>
        <v>4.2328656716417941</v>
      </c>
      <c r="G128" s="20">
        <f>E128-F128</f>
        <v>-3.0328656716417939</v>
      </c>
      <c r="H128" s="6">
        <v>304</v>
      </c>
      <c r="I128" s="8" t="s">
        <v>11</v>
      </c>
      <c r="J128" s="5"/>
    </row>
    <row r="129" spans="1:10" s="11" customFormat="1">
      <c r="A129" s="8">
        <v>1</v>
      </c>
      <c r="B129" s="8" t="s">
        <v>9</v>
      </c>
      <c r="C129" s="5" t="s">
        <v>85</v>
      </c>
      <c r="D129" s="6">
        <v>1</v>
      </c>
      <c r="E129" s="6">
        <v>0.76</v>
      </c>
      <c r="F129" s="20">
        <f t="shared" si="1"/>
        <v>4.2328656716417941</v>
      </c>
      <c r="G129" s="20">
        <f>E129-F129</f>
        <v>-3.4728656716417943</v>
      </c>
      <c r="H129" s="6">
        <v>78</v>
      </c>
      <c r="I129" s="8" t="s">
        <v>11</v>
      </c>
      <c r="J129" s="5"/>
    </row>
    <row r="130" spans="1:10">
      <c r="A130" s="8">
        <v>1</v>
      </c>
      <c r="B130" s="8" t="s">
        <v>9</v>
      </c>
      <c r="C130" s="5" t="s">
        <v>86</v>
      </c>
      <c r="D130" s="6">
        <v>1</v>
      </c>
      <c r="E130" s="6">
        <v>3.94</v>
      </c>
      <c r="F130" s="20">
        <f t="shared" ref="F130:F193" si="2">AVERAGE(E$2:E$336)</f>
        <v>4.2328656716417941</v>
      </c>
      <c r="G130" s="20">
        <f>E130-F130</f>
        <v>-0.29286567164179411</v>
      </c>
      <c r="H130" s="6">
        <v>244</v>
      </c>
      <c r="I130" s="8" t="s">
        <v>11</v>
      </c>
      <c r="J130" s="5"/>
    </row>
    <row r="131" spans="1:10" s="11" customFormat="1">
      <c r="A131" s="8">
        <v>1</v>
      </c>
      <c r="B131" s="8" t="s">
        <v>9</v>
      </c>
      <c r="C131" s="5" t="s">
        <v>86</v>
      </c>
      <c r="D131" s="6">
        <v>1</v>
      </c>
      <c r="E131" s="6">
        <v>0.67</v>
      </c>
      <c r="F131" s="20">
        <f t="shared" si="2"/>
        <v>4.2328656716417941</v>
      </c>
      <c r="G131" s="20">
        <f>E131-F131</f>
        <v>-3.5628656716417941</v>
      </c>
      <c r="H131" s="6">
        <v>637</v>
      </c>
      <c r="I131" s="8" t="s">
        <v>11</v>
      </c>
      <c r="J131" s="5"/>
    </row>
    <row r="132" spans="1:10">
      <c r="A132" s="8">
        <v>1</v>
      </c>
      <c r="B132" s="8" t="s">
        <v>9</v>
      </c>
      <c r="C132" s="5" t="s">
        <v>87</v>
      </c>
      <c r="D132" s="6">
        <v>1</v>
      </c>
      <c r="E132" s="8">
        <v>12.2</v>
      </c>
      <c r="F132" s="20">
        <f t="shared" si="2"/>
        <v>4.2328656716417941</v>
      </c>
      <c r="G132" s="20">
        <f>E132-F132</f>
        <v>7.9671343283582052</v>
      </c>
      <c r="H132" s="8">
        <v>113</v>
      </c>
      <c r="I132" s="8" t="s">
        <v>11</v>
      </c>
      <c r="J132" s="5"/>
    </row>
    <row r="133" spans="1:10" s="11" customFormat="1">
      <c r="A133" s="8">
        <v>1</v>
      </c>
      <c r="B133" s="8" t="s">
        <v>9</v>
      </c>
      <c r="C133" s="5" t="s">
        <v>88</v>
      </c>
      <c r="D133" s="6">
        <v>1</v>
      </c>
      <c r="E133" s="8">
        <v>30.21</v>
      </c>
      <c r="F133" s="20">
        <f t="shared" si="2"/>
        <v>4.2328656716417941</v>
      </c>
      <c r="G133" s="20">
        <f>E133-F133</f>
        <v>25.977134328358208</v>
      </c>
      <c r="H133" s="8">
        <v>35</v>
      </c>
      <c r="I133" s="8" t="s">
        <v>11</v>
      </c>
      <c r="J133" s="5"/>
    </row>
    <row r="134" spans="1:10">
      <c r="A134" s="8">
        <v>1</v>
      </c>
      <c r="B134" s="8" t="s">
        <v>9</v>
      </c>
      <c r="C134" s="5" t="s">
        <v>88</v>
      </c>
      <c r="D134" s="6">
        <v>1</v>
      </c>
      <c r="E134" s="8">
        <v>10.84</v>
      </c>
      <c r="F134" s="20">
        <f t="shared" si="2"/>
        <v>4.2328656716417941</v>
      </c>
      <c r="G134" s="20">
        <f>E134-F134</f>
        <v>6.6071343283582058</v>
      </c>
      <c r="H134" s="8">
        <v>41</v>
      </c>
      <c r="I134" s="8" t="s">
        <v>11</v>
      </c>
      <c r="J134" s="5"/>
    </row>
    <row r="135" spans="1:10" s="11" customFormat="1">
      <c r="A135" s="8">
        <v>1</v>
      </c>
      <c r="B135" s="8" t="s">
        <v>9</v>
      </c>
      <c r="C135" s="5" t="s">
        <v>89</v>
      </c>
      <c r="D135" s="6">
        <v>1</v>
      </c>
      <c r="E135" s="6">
        <v>4.9000000000000004</v>
      </c>
      <c r="F135" s="20">
        <f t="shared" si="2"/>
        <v>4.2328656716417941</v>
      </c>
      <c r="G135" s="20">
        <f>E135-F135</f>
        <v>0.6671343283582063</v>
      </c>
      <c r="H135" s="6">
        <v>885</v>
      </c>
      <c r="I135" s="8" t="s">
        <v>11</v>
      </c>
      <c r="J135" s="5"/>
    </row>
    <row r="136" spans="1:10" s="11" customFormat="1">
      <c r="A136" s="8">
        <v>1</v>
      </c>
      <c r="B136" s="8" t="s">
        <v>9</v>
      </c>
      <c r="C136" s="5" t="s">
        <v>89</v>
      </c>
      <c r="D136" s="6">
        <v>1</v>
      </c>
      <c r="E136" s="6">
        <v>3.06</v>
      </c>
      <c r="F136" s="20">
        <f t="shared" si="2"/>
        <v>4.2328656716417941</v>
      </c>
      <c r="G136" s="20">
        <f>E136-F136</f>
        <v>-1.172865671641794</v>
      </c>
      <c r="H136" s="6">
        <v>262</v>
      </c>
      <c r="I136" s="8" t="s">
        <v>11</v>
      </c>
      <c r="J136" s="5"/>
    </row>
    <row r="137" spans="1:10">
      <c r="A137" s="8">
        <v>1</v>
      </c>
      <c r="B137" s="8" t="s">
        <v>9</v>
      </c>
      <c r="C137" s="5" t="s">
        <v>90</v>
      </c>
      <c r="D137" s="6">
        <v>1</v>
      </c>
      <c r="E137" s="6">
        <v>2.44</v>
      </c>
      <c r="F137" s="20">
        <f t="shared" si="2"/>
        <v>4.2328656716417941</v>
      </c>
      <c r="G137" s="20">
        <f>E137-F137</f>
        <v>-1.7928656716417941</v>
      </c>
      <c r="H137" s="6">
        <v>100</v>
      </c>
      <c r="I137" s="8" t="s">
        <v>11</v>
      </c>
      <c r="J137" s="5"/>
    </row>
    <row r="138" spans="1:10" s="11" customFormat="1">
      <c r="A138" s="8">
        <v>1</v>
      </c>
      <c r="B138" s="8" t="s">
        <v>9</v>
      </c>
      <c r="C138" s="5" t="s">
        <v>91</v>
      </c>
      <c r="D138" s="6">
        <v>1</v>
      </c>
      <c r="E138" s="6">
        <v>0.5</v>
      </c>
      <c r="F138" s="20">
        <f t="shared" si="2"/>
        <v>4.2328656716417941</v>
      </c>
      <c r="G138" s="20">
        <f>E138-F138</f>
        <v>-3.7328656716417941</v>
      </c>
      <c r="H138" s="6">
        <v>642</v>
      </c>
      <c r="I138" s="8" t="s">
        <v>11</v>
      </c>
      <c r="J138" s="5"/>
    </row>
    <row r="139" spans="1:10">
      <c r="A139" s="8">
        <v>1</v>
      </c>
      <c r="B139" s="8" t="s">
        <v>9</v>
      </c>
      <c r="C139" s="5" t="s">
        <v>91</v>
      </c>
      <c r="D139" s="6">
        <v>1</v>
      </c>
      <c r="E139" s="8">
        <v>0.72</v>
      </c>
      <c r="F139" s="20">
        <f t="shared" si="2"/>
        <v>4.2328656716417941</v>
      </c>
      <c r="G139" s="20">
        <f>E139-F139</f>
        <v>-3.5128656716417943</v>
      </c>
      <c r="H139" s="8">
        <v>246</v>
      </c>
      <c r="I139" s="8" t="s">
        <v>11</v>
      </c>
      <c r="J139" s="5"/>
    </row>
    <row r="140" spans="1:10" s="11" customFormat="1">
      <c r="A140" s="8">
        <v>1</v>
      </c>
      <c r="B140" s="8" t="s">
        <v>9</v>
      </c>
      <c r="C140" s="5" t="s">
        <v>92</v>
      </c>
      <c r="D140" s="6">
        <v>1</v>
      </c>
      <c r="E140" s="8">
        <v>1.87</v>
      </c>
      <c r="F140" s="20">
        <f t="shared" si="2"/>
        <v>4.2328656716417941</v>
      </c>
      <c r="G140" s="20">
        <f>E140-F140</f>
        <v>-2.362865671641794</v>
      </c>
      <c r="H140" s="8">
        <v>522</v>
      </c>
      <c r="I140" s="8" t="s">
        <v>11</v>
      </c>
      <c r="J140" s="5"/>
    </row>
    <row r="141" spans="1:10">
      <c r="A141" s="8">
        <v>1</v>
      </c>
      <c r="B141" s="8" t="s">
        <v>9</v>
      </c>
      <c r="C141" s="5" t="s">
        <v>93</v>
      </c>
      <c r="D141" s="6">
        <v>1</v>
      </c>
      <c r="E141" s="8">
        <v>1.26</v>
      </c>
      <c r="F141" s="20">
        <f t="shared" si="2"/>
        <v>4.2328656716417941</v>
      </c>
      <c r="G141" s="20">
        <f>E141-F141</f>
        <v>-2.9728656716417943</v>
      </c>
      <c r="H141" s="8">
        <v>42</v>
      </c>
      <c r="I141" s="8" t="s">
        <v>11</v>
      </c>
      <c r="J141" s="5"/>
    </row>
    <row r="142" spans="1:10" s="11" customFormat="1">
      <c r="A142" s="8">
        <v>1</v>
      </c>
      <c r="B142" s="8" t="s">
        <v>9</v>
      </c>
      <c r="C142" s="5" t="s">
        <v>94</v>
      </c>
      <c r="D142" s="6">
        <v>1</v>
      </c>
      <c r="E142" s="6">
        <v>1.1599999999999999</v>
      </c>
      <c r="F142" s="20">
        <f t="shared" si="2"/>
        <v>4.2328656716417941</v>
      </c>
      <c r="G142" s="20">
        <f>E142-F142</f>
        <v>-3.0728656716417939</v>
      </c>
      <c r="H142" s="6">
        <v>3628</v>
      </c>
      <c r="I142" s="8" t="s">
        <v>11</v>
      </c>
      <c r="J142" s="5"/>
    </row>
    <row r="143" spans="1:10" s="11" customFormat="1">
      <c r="A143" s="8">
        <v>1</v>
      </c>
      <c r="B143" s="8" t="s">
        <v>9</v>
      </c>
      <c r="C143" s="5" t="s">
        <v>94</v>
      </c>
      <c r="D143" s="6">
        <v>1</v>
      </c>
      <c r="E143" s="6">
        <v>1.7</v>
      </c>
      <c r="F143" s="20">
        <f t="shared" si="2"/>
        <v>4.2328656716417941</v>
      </c>
      <c r="G143" s="20">
        <f>E143-F143</f>
        <v>-2.5328656716417939</v>
      </c>
      <c r="H143" s="6">
        <v>516</v>
      </c>
      <c r="I143" s="8" t="s">
        <v>11</v>
      </c>
      <c r="J143" s="5"/>
    </row>
    <row r="144" spans="1:10">
      <c r="A144" s="8">
        <v>1</v>
      </c>
      <c r="B144" s="8" t="s">
        <v>9</v>
      </c>
      <c r="C144" s="5" t="s">
        <v>95</v>
      </c>
      <c r="D144" s="6">
        <v>1</v>
      </c>
      <c r="E144" s="6">
        <v>3.11</v>
      </c>
      <c r="F144" s="20">
        <f t="shared" si="2"/>
        <v>4.2328656716417941</v>
      </c>
      <c r="G144" s="20">
        <f>E144-F144</f>
        <v>-1.1228656716417942</v>
      </c>
      <c r="H144" s="6">
        <v>27</v>
      </c>
      <c r="I144" s="8" t="s">
        <v>11</v>
      </c>
      <c r="J144" s="5"/>
    </row>
    <row r="145" spans="1:10" s="11" customFormat="1">
      <c r="A145" s="8">
        <v>1</v>
      </c>
      <c r="B145" s="8" t="s">
        <v>9</v>
      </c>
      <c r="C145" s="5" t="s">
        <v>95</v>
      </c>
      <c r="D145" s="6">
        <v>1</v>
      </c>
      <c r="E145" s="6">
        <v>1.08</v>
      </c>
      <c r="F145" s="20">
        <f t="shared" si="2"/>
        <v>4.2328656716417941</v>
      </c>
      <c r="G145" s="20">
        <f>E145-F145</f>
        <v>-3.152865671641794</v>
      </c>
      <c r="H145" s="6">
        <v>100</v>
      </c>
      <c r="I145" s="8" t="s">
        <v>11</v>
      </c>
      <c r="J145" s="5"/>
    </row>
    <row r="146" spans="1:10">
      <c r="A146" s="8">
        <v>1</v>
      </c>
      <c r="B146" s="8" t="s">
        <v>9</v>
      </c>
      <c r="C146" s="5" t="s">
        <v>96</v>
      </c>
      <c r="D146" s="6">
        <v>1</v>
      </c>
      <c r="E146" s="8">
        <v>2.92</v>
      </c>
      <c r="F146" s="20">
        <f t="shared" si="2"/>
        <v>4.2328656716417941</v>
      </c>
      <c r="G146" s="20">
        <f>E146-F146</f>
        <v>-1.3128656716417941</v>
      </c>
      <c r="H146" s="8">
        <v>39869</v>
      </c>
      <c r="I146" s="8" t="s">
        <v>11</v>
      </c>
      <c r="J146" s="5"/>
    </row>
    <row r="147" spans="1:10" s="11" customFormat="1">
      <c r="A147" s="8">
        <v>1</v>
      </c>
      <c r="B147" s="8" t="s">
        <v>9</v>
      </c>
      <c r="C147" s="5" t="s">
        <v>97</v>
      </c>
      <c r="D147" s="6">
        <v>1</v>
      </c>
      <c r="E147" s="8">
        <v>3.98</v>
      </c>
      <c r="F147" s="20">
        <f t="shared" si="2"/>
        <v>4.2328656716417941</v>
      </c>
      <c r="G147" s="20">
        <f>E147-F147</f>
        <v>-0.25286567164179408</v>
      </c>
      <c r="H147" s="8">
        <v>57</v>
      </c>
      <c r="I147" s="8" t="s">
        <v>11</v>
      </c>
      <c r="J147" s="5"/>
    </row>
    <row r="148" spans="1:10">
      <c r="A148" s="8">
        <v>1</v>
      </c>
      <c r="B148" s="8" t="s">
        <v>9</v>
      </c>
      <c r="C148" s="5" t="s">
        <v>97</v>
      </c>
      <c r="D148" s="6">
        <v>1</v>
      </c>
      <c r="E148" s="6">
        <v>2.0699999999999998</v>
      </c>
      <c r="F148" s="20">
        <f t="shared" si="2"/>
        <v>4.2328656716417941</v>
      </c>
      <c r="G148" s="20">
        <f>E148-F148</f>
        <v>-2.1628656716417942</v>
      </c>
      <c r="H148" s="6">
        <v>44</v>
      </c>
      <c r="I148" s="8" t="s">
        <v>11</v>
      </c>
      <c r="J148" s="5"/>
    </row>
    <row r="149" spans="1:10" s="11" customFormat="1">
      <c r="A149" s="8">
        <v>1</v>
      </c>
      <c r="B149" s="8" t="s">
        <v>9</v>
      </c>
      <c r="C149" s="5" t="s">
        <v>98</v>
      </c>
      <c r="D149" s="6">
        <v>1</v>
      </c>
      <c r="E149" s="6">
        <v>3.44</v>
      </c>
      <c r="F149" s="20">
        <f t="shared" si="2"/>
        <v>4.2328656716417941</v>
      </c>
      <c r="G149" s="20">
        <f>E149-F149</f>
        <v>-0.79286567164179411</v>
      </c>
      <c r="H149" s="6">
        <v>180</v>
      </c>
      <c r="I149" s="8" t="s">
        <v>11</v>
      </c>
      <c r="J149" s="5"/>
    </row>
    <row r="150" spans="1:10" s="11" customFormat="1">
      <c r="A150" s="8">
        <v>1</v>
      </c>
      <c r="B150" s="8" t="s">
        <v>9</v>
      </c>
      <c r="C150" s="5" t="s">
        <v>98</v>
      </c>
      <c r="D150" s="6">
        <v>1</v>
      </c>
      <c r="E150" s="6">
        <v>5.7</v>
      </c>
      <c r="F150" s="20">
        <f t="shared" si="2"/>
        <v>4.2328656716417941</v>
      </c>
      <c r="G150" s="20">
        <f>E150-F150</f>
        <v>1.4671343283582061</v>
      </c>
      <c r="H150" s="6">
        <v>39</v>
      </c>
      <c r="I150" s="8" t="s">
        <v>11</v>
      </c>
      <c r="J150" s="5"/>
    </row>
    <row r="151" spans="1:10">
      <c r="A151" s="8">
        <v>1</v>
      </c>
      <c r="B151" s="8" t="s">
        <v>9</v>
      </c>
      <c r="C151" s="5" t="s">
        <v>99</v>
      </c>
      <c r="D151" s="6">
        <v>1</v>
      </c>
      <c r="E151" s="6">
        <v>0.65</v>
      </c>
      <c r="F151" s="20">
        <f t="shared" si="2"/>
        <v>4.2328656716417941</v>
      </c>
      <c r="G151" s="20">
        <f>E151-F151</f>
        <v>-3.5828656716417941</v>
      </c>
      <c r="H151" s="6">
        <v>50</v>
      </c>
      <c r="I151" s="8" t="s">
        <v>11</v>
      </c>
      <c r="J151" s="5"/>
    </row>
    <row r="152" spans="1:10" s="11" customFormat="1">
      <c r="A152" s="8">
        <v>1</v>
      </c>
      <c r="B152" s="8" t="s">
        <v>9</v>
      </c>
      <c r="C152" s="5" t="s">
        <v>100</v>
      </c>
      <c r="D152" s="6">
        <v>1</v>
      </c>
      <c r="E152" s="8">
        <v>2.13</v>
      </c>
      <c r="F152" s="20">
        <f t="shared" si="2"/>
        <v>4.2328656716417941</v>
      </c>
      <c r="G152" s="20">
        <f>E152-F152</f>
        <v>-2.1028656716417942</v>
      </c>
      <c r="H152" s="8">
        <v>436</v>
      </c>
      <c r="I152" s="8" t="s">
        <v>11</v>
      </c>
      <c r="J152" s="5"/>
    </row>
    <row r="153" spans="1:10">
      <c r="A153" s="8">
        <v>1</v>
      </c>
      <c r="B153" s="8" t="s">
        <v>9</v>
      </c>
      <c r="C153" s="5" t="s">
        <v>100</v>
      </c>
      <c r="D153" s="6">
        <v>1</v>
      </c>
      <c r="E153" s="8">
        <v>8.7799999999999994</v>
      </c>
      <c r="F153" s="20">
        <f t="shared" si="2"/>
        <v>4.2328656716417941</v>
      </c>
      <c r="G153" s="20">
        <f>E153-F153</f>
        <v>4.5471343283582053</v>
      </c>
      <c r="H153" s="8">
        <v>62</v>
      </c>
      <c r="I153" s="8" t="s">
        <v>11</v>
      </c>
      <c r="J153" s="5"/>
    </row>
    <row r="154" spans="1:10" s="11" customFormat="1">
      <c r="A154" s="8">
        <v>1</v>
      </c>
      <c r="B154" s="8" t="s">
        <v>9</v>
      </c>
      <c r="C154" s="5" t="s">
        <v>101</v>
      </c>
      <c r="D154" s="6">
        <v>1</v>
      </c>
      <c r="E154" s="8">
        <v>7.56</v>
      </c>
      <c r="F154" s="20">
        <f t="shared" si="2"/>
        <v>4.2328656716417941</v>
      </c>
      <c r="G154" s="20">
        <f>E154-F154</f>
        <v>3.3271343283582056</v>
      </c>
      <c r="H154" s="8">
        <v>832</v>
      </c>
      <c r="I154" s="8" t="s">
        <v>11</v>
      </c>
      <c r="J154" s="5"/>
    </row>
    <row r="155" spans="1:10">
      <c r="A155" s="8">
        <v>1</v>
      </c>
      <c r="B155" s="8" t="s">
        <v>9</v>
      </c>
      <c r="C155" s="5" t="s">
        <v>101</v>
      </c>
      <c r="D155" s="6">
        <v>1</v>
      </c>
      <c r="E155" s="6">
        <v>13.18</v>
      </c>
      <c r="F155" s="20">
        <f t="shared" si="2"/>
        <v>4.2328656716417941</v>
      </c>
      <c r="G155" s="20">
        <f>E155-F155</f>
        <v>8.9471343283582065</v>
      </c>
      <c r="H155" s="6">
        <v>81</v>
      </c>
      <c r="I155" s="8" t="s">
        <v>11</v>
      </c>
      <c r="J155" s="5"/>
    </row>
    <row r="156" spans="1:10" s="11" customFormat="1">
      <c r="A156" s="8">
        <v>1</v>
      </c>
      <c r="B156" s="8" t="s">
        <v>9</v>
      </c>
      <c r="C156" s="5" t="s">
        <v>102</v>
      </c>
      <c r="D156" s="6">
        <v>1</v>
      </c>
      <c r="E156" s="6">
        <v>3.57</v>
      </c>
      <c r="F156" s="20">
        <f t="shared" si="2"/>
        <v>4.2328656716417941</v>
      </c>
      <c r="G156" s="20">
        <f>E156-F156</f>
        <v>-0.66286567164179422</v>
      </c>
      <c r="H156" s="6">
        <v>183</v>
      </c>
      <c r="I156" s="8" t="s">
        <v>11</v>
      </c>
      <c r="J156" s="5"/>
    </row>
    <row r="157" spans="1:10" s="11" customFormat="1">
      <c r="A157" s="8">
        <v>1</v>
      </c>
      <c r="B157" s="8" t="s">
        <v>9</v>
      </c>
      <c r="C157" s="5" t="s">
        <v>102</v>
      </c>
      <c r="D157" s="6">
        <v>1</v>
      </c>
      <c r="E157" s="6">
        <v>10.56</v>
      </c>
      <c r="F157" s="20">
        <f t="shared" si="2"/>
        <v>4.2328656716417941</v>
      </c>
      <c r="G157" s="20">
        <f>E157-F157</f>
        <v>6.3271343283582064</v>
      </c>
      <c r="H157" s="6">
        <v>25</v>
      </c>
      <c r="I157" s="8" t="s">
        <v>11</v>
      </c>
      <c r="J157" s="5"/>
    </row>
    <row r="158" spans="1:10">
      <c r="A158" s="8">
        <v>1</v>
      </c>
      <c r="B158" s="8" t="s">
        <v>9</v>
      </c>
      <c r="C158" s="5" t="s">
        <v>103</v>
      </c>
      <c r="D158" s="6">
        <v>1</v>
      </c>
      <c r="E158" s="6">
        <v>1.7</v>
      </c>
      <c r="F158" s="20">
        <f t="shared" si="2"/>
        <v>4.2328656716417941</v>
      </c>
      <c r="G158" s="20">
        <f>E158-F158</f>
        <v>-2.5328656716417939</v>
      </c>
      <c r="H158" s="6">
        <v>701</v>
      </c>
      <c r="I158" s="8" t="s">
        <v>11</v>
      </c>
      <c r="J158" s="5"/>
    </row>
    <row r="159" spans="1:10" s="11" customFormat="1">
      <c r="A159" s="8">
        <v>1</v>
      </c>
      <c r="B159" s="8" t="s">
        <v>9</v>
      </c>
      <c r="C159" s="5" t="s">
        <v>103</v>
      </c>
      <c r="D159" s="6">
        <v>1</v>
      </c>
      <c r="E159" s="8">
        <v>4.38</v>
      </c>
      <c r="F159" s="20">
        <f t="shared" si="2"/>
        <v>4.2328656716417941</v>
      </c>
      <c r="G159" s="20">
        <f>E159-F159</f>
        <v>0.14713432835820583</v>
      </c>
      <c r="H159" s="8">
        <v>34</v>
      </c>
      <c r="I159" s="8" t="s">
        <v>11</v>
      </c>
      <c r="J159" s="5"/>
    </row>
    <row r="160" spans="1:10">
      <c r="A160" s="8">
        <v>1</v>
      </c>
      <c r="B160" s="8" t="s">
        <v>9</v>
      </c>
      <c r="C160" s="5" t="s">
        <v>104</v>
      </c>
      <c r="D160" s="6">
        <v>1</v>
      </c>
      <c r="E160" s="8">
        <v>2.95</v>
      </c>
      <c r="F160" s="20">
        <f t="shared" si="2"/>
        <v>4.2328656716417941</v>
      </c>
      <c r="G160" s="20">
        <f>E160-F160</f>
        <v>-1.2828656716417939</v>
      </c>
      <c r="H160" s="8">
        <v>70</v>
      </c>
      <c r="I160" s="8" t="s">
        <v>11</v>
      </c>
      <c r="J160" s="5"/>
    </row>
    <row r="161" spans="1:10" s="11" customFormat="1">
      <c r="A161" s="8">
        <v>1</v>
      </c>
      <c r="B161" s="8" t="s">
        <v>9</v>
      </c>
      <c r="C161" s="5" t="s">
        <v>105</v>
      </c>
      <c r="D161" s="6">
        <v>1</v>
      </c>
      <c r="E161" s="8">
        <v>2.37</v>
      </c>
      <c r="F161" s="20">
        <f t="shared" si="2"/>
        <v>4.2328656716417941</v>
      </c>
      <c r="G161" s="20">
        <f>E161-F161</f>
        <v>-1.862865671641794</v>
      </c>
      <c r="H161" s="8">
        <v>324</v>
      </c>
      <c r="I161" s="8" t="s">
        <v>11</v>
      </c>
      <c r="J161" s="5"/>
    </row>
    <row r="162" spans="1:10">
      <c r="A162" s="8">
        <v>1</v>
      </c>
      <c r="B162" s="8" t="s">
        <v>9</v>
      </c>
      <c r="C162" s="5" t="s">
        <v>105</v>
      </c>
      <c r="D162" s="6">
        <v>1</v>
      </c>
      <c r="E162" s="6">
        <v>4.32</v>
      </c>
      <c r="F162" s="20">
        <f t="shared" si="2"/>
        <v>4.2328656716417941</v>
      </c>
      <c r="G162" s="20">
        <f>E162-F162</f>
        <v>8.7134328358206226E-2</v>
      </c>
      <c r="H162" s="6">
        <v>67</v>
      </c>
      <c r="I162" s="8" t="s">
        <v>11</v>
      </c>
      <c r="J162" s="5"/>
    </row>
    <row r="163" spans="1:10" s="11" customFormat="1">
      <c r="A163" s="8">
        <v>1</v>
      </c>
      <c r="B163" s="8" t="s">
        <v>9</v>
      </c>
      <c r="C163" s="5" t="s">
        <v>106</v>
      </c>
      <c r="D163" s="6">
        <v>1</v>
      </c>
      <c r="E163" s="6">
        <v>0.75</v>
      </c>
      <c r="F163" s="20">
        <f t="shared" si="2"/>
        <v>4.2328656716417941</v>
      </c>
      <c r="G163" s="20">
        <f>E163-F163</f>
        <v>-3.4828656716417941</v>
      </c>
      <c r="H163" s="6">
        <v>196</v>
      </c>
      <c r="I163" s="8" t="s">
        <v>11</v>
      </c>
      <c r="J163" s="5"/>
    </row>
    <row r="164" spans="1:10" s="11" customFormat="1">
      <c r="A164" s="8">
        <v>1</v>
      </c>
      <c r="B164" s="8" t="s">
        <v>9</v>
      </c>
      <c r="C164" s="5" t="s">
        <v>107</v>
      </c>
      <c r="D164" s="6">
        <v>1</v>
      </c>
      <c r="E164" s="6">
        <v>1.64</v>
      </c>
      <c r="F164" s="20">
        <f t="shared" si="2"/>
        <v>4.2328656716417941</v>
      </c>
      <c r="G164" s="20">
        <f>E164-F164</f>
        <v>-2.5928656716417944</v>
      </c>
      <c r="H164" s="6">
        <v>921</v>
      </c>
      <c r="I164" s="8" t="s">
        <v>11</v>
      </c>
      <c r="J164" s="5"/>
    </row>
    <row r="165" spans="1:10">
      <c r="A165" s="8">
        <v>1</v>
      </c>
      <c r="B165" s="8" t="s">
        <v>9</v>
      </c>
      <c r="C165" s="5" t="s">
        <v>107</v>
      </c>
      <c r="D165" s="6">
        <v>1</v>
      </c>
      <c r="E165" s="6">
        <v>10.01</v>
      </c>
      <c r="F165" s="20">
        <f t="shared" si="2"/>
        <v>4.2328656716417941</v>
      </c>
      <c r="G165" s="20">
        <f>E165-F165</f>
        <v>5.7771343283582057</v>
      </c>
      <c r="H165" s="6">
        <v>21</v>
      </c>
      <c r="I165" s="8" t="s">
        <v>11</v>
      </c>
      <c r="J165" s="5"/>
    </row>
    <row r="166" spans="1:10" s="11" customFormat="1">
      <c r="A166" s="8">
        <v>1</v>
      </c>
      <c r="B166" s="8" t="s">
        <v>9</v>
      </c>
      <c r="C166" s="5" t="s">
        <v>108</v>
      </c>
      <c r="D166" s="6">
        <v>1</v>
      </c>
      <c r="E166" s="8">
        <v>8.19</v>
      </c>
      <c r="F166" s="20">
        <f t="shared" si="2"/>
        <v>4.2328656716417941</v>
      </c>
      <c r="G166" s="20">
        <f>E166-F166</f>
        <v>3.9571343283582054</v>
      </c>
      <c r="H166" s="8">
        <v>118</v>
      </c>
      <c r="I166" s="8" t="s">
        <v>11</v>
      </c>
      <c r="J166" s="5"/>
    </row>
    <row r="167" spans="1:10">
      <c r="A167" s="8">
        <v>1</v>
      </c>
      <c r="B167" s="8" t="s">
        <v>9</v>
      </c>
      <c r="C167" s="5" t="s">
        <v>108</v>
      </c>
      <c r="D167" s="6">
        <v>1</v>
      </c>
      <c r="E167" s="8">
        <v>1.02</v>
      </c>
      <c r="F167" s="20">
        <f t="shared" si="2"/>
        <v>4.2328656716417941</v>
      </c>
      <c r="G167" s="20">
        <f>E167-F167</f>
        <v>-3.212865671641794</v>
      </c>
      <c r="H167" s="8">
        <v>224</v>
      </c>
      <c r="I167" s="8" t="s">
        <v>11</v>
      </c>
      <c r="J167" s="5"/>
    </row>
    <row r="168" spans="1:10" s="11" customFormat="1">
      <c r="A168" s="8">
        <v>1</v>
      </c>
      <c r="B168" s="8" t="s">
        <v>9</v>
      </c>
      <c r="C168" s="5" t="s">
        <v>109</v>
      </c>
      <c r="D168" s="6">
        <v>1</v>
      </c>
      <c r="E168" s="8">
        <v>3.15</v>
      </c>
      <c r="F168" s="20">
        <f t="shared" si="2"/>
        <v>4.2328656716417941</v>
      </c>
      <c r="G168" s="20">
        <f>E168-F168</f>
        <v>-1.0828656716417941</v>
      </c>
      <c r="H168" s="8">
        <v>1514</v>
      </c>
      <c r="I168" s="8" t="s">
        <v>11</v>
      </c>
      <c r="J168" s="5"/>
    </row>
    <row r="169" spans="1:10">
      <c r="A169" s="8">
        <v>1</v>
      </c>
      <c r="B169" s="8" t="s">
        <v>9</v>
      </c>
      <c r="C169" s="5" t="s">
        <v>109</v>
      </c>
      <c r="D169" s="6">
        <v>1</v>
      </c>
      <c r="E169" s="6">
        <v>6.29</v>
      </c>
      <c r="F169" s="20">
        <f t="shared" si="2"/>
        <v>4.2328656716417941</v>
      </c>
      <c r="G169" s="20">
        <f>E169-F169</f>
        <v>2.057134328358206</v>
      </c>
      <c r="H169" s="6">
        <v>43</v>
      </c>
      <c r="I169" s="8" t="s">
        <v>11</v>
      </c>
      <c r="J169" s="5"/>
    </row>
    <row r="170" spans="1:10" s="11" customFormat="1">
      <c r="A170" s="8">
        <v>1</v>
      </c>
      <c r="B170" s="8" t="s">
        <v>9</v>
      </c>
      <c r="C170" s="5" t="s">
        <v>110</v>
      </c>
      <c r="D170" s="6">
        <v>1</v>
      </c>
      <c r="E170" s="6">
        <v>0</v>
      </c>
      <c r="F170" s="20">
        <f t="shared" si="2"/>
        <v>4.2328656716417941</v>
      </c>
      <c r="G170" s="20">
        <f>E170-F170</f>
        <v>-4.2328656716417941</v>
      </c>
      <c r="H170" s="6">
        <v>55</v>
      </c>
      <c r="I170" s="8" t="s">
        <v>11</v>
      </c>
      <c r="J170" s="5"/>
    </row>
    <row r="171" spans="1:10" s="11" customFormat="1">
      <c r="A171" s="8">
        <v>1</v>
      </c>
      <c r="B171" s="8" t="s">
        <v>9</v>
      </c>
      <c r="C171" s="5" t="s">
        <v>110</v>
      </c>
      <c r="D171" s="6">
        <v>1</v>
      </c>
      <c r="E171" s="6">
        <v>1.75</v>
      </c>
      <c r="F171" s="20">
        <f t="shared" si="2"/>
        <v>4.2328656716417941</v>
      </c>
      <c r="G171" s="20">
        <f>E171-F171</f>
        <v>-2.4828656716417941</v>
      </c>
      <c r="H171" s="6">
        <v>36</v>
      </c>
      <c r="I171" s="8" t="s">
        <v>11</v>
      </c>
      <c r="J171" s="5"/>
    </row>
    <row r="172" spans="1:10">
      <c r="A172" s="8">
        <v>1</v>
      </c>
      <c r="B172" s="8" t="s">
        <v>9</v>
      </c>
      <c r="C172" s="5" t="s">
        <v>111</v>
      </c>
      <c r="D172" s="6">
        <v>1</v>
      </c>
      <c r="E172" s="6">
        <v>2.58</v>
      </c>
      <c r="F172" s="20">
        <f t="shared" si="2"/>
        <v>4.2328656716417941</v>
      </c>
      <c r="G172" s="20">
        <f>E172-F172</f>
        <v>-1.652865671641794</v>
      </c>
      <c r="H172" s="6">
        <v>499</v>
      </c>
      <c r="I172" s="8" t="s">
        <v>11</v>
      </c>
      <c r="J172" s="5"/>
    </row>
    <row r="173" spans="1:10" s="11" customFormat="1">
      <c r="A173" s="8">
        <v>1</v>
      </c>
      <c r="B173" s="8" t="s">
        <v>9</v>
      </c>
      <c r="C173" s="5" t="s">
        <v>112</v>
      </c>
      <c r="D173" s="6">
        <v>1</v>
      </c>
      <c r="E173" s="8">
        <v>0.92</v>
      </c>
      <c r="F173" s="20">
        <f t="shared" si="2"/>
        <v>4.2328656716417941</v>
      </c>
      <c r="G173" s="20">
        <f>E173-F173</f>
        <v>-3.3128656716417941</v>
      </c>
      <c r="H173" s="8">
        <v>101</v>
      </c>
      <c r="I173" s="8" t="s">
        <v>11</v>
      </c>
      <c r="J173" s="5"/>
    </row>
    <row r="174" spans="1:10">
      <c r="A174" s="8">
        <v>1</v>
      </c>
      <c r="B174" s="8" t="s">
        <v>9</v>
      </c>
      <c r="C174" s="5" t="s">
        <v>113</v>
      </c>
      <c r="D174" s="6">
        <v>1</v>
      </c>
      <c r="E174" s="8">
        <v>1.2</v>
      </c>
      <c r="F174" s="20">
        <f t="shared" si="2"/>
        <v>4.2328656716417941</v>
      </c>
      <c r="G174" s="20">
        <f>E174-F174</f>
        <v>-3.0328656716417939</v>
      </c>
      <c r="H174" s="8">
        <v>244</v>
      </c>
      <c r="I174" s="8" t="s">
        <v>11</v>
      </c>
      <c r="J174" s="5"/>
    </row>
    <row r="175" spans="1:10" s="11" customFormat="1">
      <c r="A175" s="8">
        <v>1</v>
      </c>
      <c r="B175" s="8" t="s">
        <v>9</v>
      </c>
      <c r="C175" s="5" t="s">
        <v>114</v>
      </c>
      <c r="D175" s="6">
        <v>1</v>
      </c>
      <c r="E175" s="8">
        <v>10.43</v>
      </c>
      <c r="F175" s="20">
        <f t="shared" si="2"/>
        <v>4.2328656716417941</v>
      </c>
      <c r="G175" s="20">
        <f>E175-F175</f>
        <v>6.1971343283582057</v>
      </c>
      <c r="H175" s="8">
        <v>24</v>
      </c>
      <c r="I175" s="8" t="s">
        <v>11</v>
      </c>
      <c r="J175" s="5"/>
    </row>
    <row r="176" spans="1:10">
      <c r="A176" s="8">
        <v>1</v>
      </c>
      <c r="B176" s="8" t="s">
        <v>9</v>
      </c>
      <c r="C176" s="5" t="s">
        <v>114</v>
      </c>
      <c r="D176" s="6">
        <v>1</v>
      </c>
      <c r="E176" s="6">
        <v>1.44</v>
      </c>
      <c r="F176" s="20">
        <f t="shared" si="2"/>
        <v>4.2328656716417941</v>
      </c>
      <c r="G176" s="20">
        <f>E176-F176</f>
        <v>-2.7928656716417941</v>
      </c>
      <c r="H176" s="6">
        <v>85</v>
      </c>
      <c r="I176" s="8" t="s">
        <v>11</v>
      </c>
      <c r="J176" s="5"/>
    </row>
    <row r="177" spans="1:10" s="11" customFormat="1">
      <c r="A177" s="8">
        <v>1</v>
      </c>
      <c r="B177" s="8" t="s">
        <v>9</v>
      </c>
      <c r="C177" s="5" t="s">
        <v>115</v>
      </c>
      <c r="D177" s="6">
        <v>1</v>
      </c>
      <c r="E177" s="6">
        <v>2.2000000000000002</v>
      </c>
      <c r="F177" s="20">
        <f t="shared" si="2"/>
        <v>4.2328656716417941</v>
      </c>
      <c r="G177" s="20">
        <f>E177-F177</f>
        <v>-2.0328656716417939</v>
      </c>
      <c r="H177" s="6">
        <v>695</v>
      </c>
      <c r="I177" s="8" t="s">
        <v>11</v>
      </c>
      <c r="J177" s="5"/>
    </row>
    <row r="178" spans="1:10" s="11" customFormat="1">
      <c r="A178" s="8">
        <v>1</v>
      </c>
      <c r="B178" s="8" t="s">
        <v>9</v>
      </c>
      <c r="C178" s="5" t="s">
        <v>115</v>
      </c>
      <c r="D178" s="6">
        <v>1</v>
      </c>
      <c r="E178" s="6">
        <v>3.89</v>
      </c>
      <c r="F178" s="20">
        <f t="shared" si="2"/>
        <v>4.2328656716417941</v>
      </c>
      <c r="G178" s="20">
        <f>E178-F178</f>
        <v>-0.34286567164179393</v>
      </c>
      <c r="H178" s="6">
        <v>147</v>
      </c>
      <c r="I178" s="8" t="s">
        <v>11</v>
      </c>
      <c r="J178" s="5"/>
    </row>
    <row r="179" spans="1:10">
      <c r="A179" s="8">
        <v>1</v>
      </c>
      <c r="B179" s="8" t="s">
        <v>9</v>
      </c>
      <c r="C179" s="5" t="s">
        <v>116</v>
      </c>
      <c r="D179" s="6">
        <v>1</v>
      </c>
      <c r="E179" s="6">
        <v>10.130000000000001</v>
      </c>
      <c r="F179" s="20">
        <f t="shared" si="2"/>
        <v>4.2328656716417941</v>
      </c>
      <c r="G179" s="20">
        <f>E179-F179</f>
        <v>5.8971343283582067</v>
      </c>
      <c r="H179" s="6">
        <v>101</v>
      </c>
      <c r="I179" s="8" t="s">
        <v>11</v>
      </c>
      <c r="J179" s="5"/>
    </row>
    <row r="180" spans="1:10" s="11" customFormat="1">
      <c r="A180" s="8">
        <v>1</v>
      </c>
      <c r="B180" s="8" t="s">
        <v>9</v>
      </c>
      <c r="C180" s="5" t="s">
        <v>116</v>
      </c>
      <c r="D180" s="6">
        <v>1</v>
      </c>
      <c r="E180" s="8">
        <v>0.34</v>
      </c>
      <c r="F180" s="20">
        <f t="shared" si="2"/>
        <v>4.2328656716417941</v>
      </c>
      <c r="G180" s="20">
        <f>E180-F180</f>
        <v>-3.8928656716417942</v>
      </c>
      <c r="H180" s="8">
        <v>87</v>
      </c>
      <c r="I180" s="8" t="s">
        <v>11</v>
      </c>
      <c r="J180" s="5"/>
    </row>
    <row r="181" spans="1:10">
      <c r="A181" s="8">
        <v>1</v>
      </c>
      <c r="B181" s="8" t="s">
        <v>9</v>
      </c>
      <c r="C181" s="5" t="s">
        <v>117</v>
      </c>
      <c r="D181" s="6">
        <v>1</v>
      </c>
      <c r="E181" s="8">
        <v>0</v>
      </c>
      <c r="F181" s="20">
        <f t="shared" si="2"/>
        <v>4.2328656716417941</v>
      </c>
      <c r="G181" s="20">
        <f>E181-F181</f>
        <v>-4.2328656716417941</v>
      </c>
      <c r="H181" s="8">
        <v>72</v>
      </c>
      <c r="I181" s="8" t="s">
        <v>11</v>
      </c>
      <c r="J181" s="5"/>
    </row>
    <row r="182" spans="1:10" s="11" customFormat="1">
      <c r="A182" s="8">
        <v>1</v>
      </c>
      <c r="B182" s="8" t="s">
        <v>9</v>
      </c>
      <c r="C182" s="5" t="s">
        <v>117</v>
      </c>
      <c r="D182" s="6">
        <v>1</v>
      </c>
      <c r="E182" s="8">
        <v>2.2599999999999998</v>
      </c>
      <c r="F182" s="20">
        <f t="shared" si="2"/>
        <v>4.2328656716417941</v>
      </c>
      <c r="G182" s="20">
        <f>E182-F182</f>
        <v>-1.9728656716417943</v>
      </c>
      <c r="H182" s="8">
        <v>24</v>
      </c>
      <c r="I182" s="8" t="s">
        <v>11</v>
      </c>
      <c r="J182" s="5"/>
    </row>
    <row r="183" spans="1:10">
      <c r="A183" s="8">
        <v>1</v>
      </c>
      <c r="B183" s="8" t="s">
        <v>9</v>
      </c>
      <c r="C183" s="5" t="s">
        <v>118</v>
      </c>
      <c r="D183" s="6">
        <v>1</v>
      </c>
      <c r="E183" s="6">
        <v>0.59</v>
      </c>
      <c r="F183" s="20">
        <f t="shared" si="2"/>
        <v>4.2328656716417941</v>
      </c>
      <c r="G183" s="20">
        <f>E183-F183</f>
        <v>-3.6428656716417942</v>
      </c>
      <c r="H183" s="6">
        <v>262</v>
      </c>
      <c r="I183" s="8" t="s">
        <v>11</v>
      </c>
      <c r="J183" s="5"/>
    </row>
    <row r="184" spans="1:10" s="11" customFormat="1">
      <c r="A184" s="8">
        <v>1</v>
      </c>
      <c r="B184" s="8" t="s">
        <v>9</v>
      </c>
      <c r="C184" s="5" t="s">
        <v>119</v>
      </c>
      <c r="D184" s="6">
        <v>1</v>
      </c>
      <c r="E184" s="6">
        <v>1.81</v>
      </c>
      <c r="F184" s="20">
        <f t="shared" si="2"/>
        <v>4.2328656716417941</v>
      </c>
      <c r="G184" s="20">
        <f>E184-F184</f>
        <v>-2.422865671641794</v>
      </c>
      <c r="H184" s="6">
        <v>54</v>
      </c>
      <c r="I184" s="8" t="s">
        <v>11</v>
      </c>
      <c r="J184" s="5"/>
    </row>
    <row r="185" spans="1:10" s="11" customFormat="1">
      <c r="A185" s="8">
        <v>1</v>
      </c>
      <c r="B185" s="8" t="s">
        <v>9</v>
      </c>
      <c r="C185" s="5" t="s">
        <v>120</v>
      </c>
      <c r="D185" s="6">
        <v>1</v>
      </c>
      <c r="E185" s="6">
        <v>1.58</v>
      </c>
      <c r="F185" s="20">
        <f t="shared" si="2"/>
        <v>4.2328656716417941</v>
      </c>
      <c r="G185" s="20">
        <f>E185-F185</f>
        <v>-2.652865671641794</v>
      </c>
      <c r="H185" s="6">
        <v>1195</v>
      </c>
      <c r="I185" s="8" t="s">
        <v>11</v>
      </c>
      <c r="J185" s="5"/>
    </row>
    <row r="186" spans="1:10">
      <c r="A186" s="8">
        <v>1</v>
      </c>
      <c r="B186" s="8" t="s">
        <v>9</v>
      </c>
      <c r="C186" s="5" t="s">
        <v>120</v>
      </c>
      <c r="D186" s="6">
        <v>1</v>
      </c>
      <c r="E186" s="6">
        <v>5.18</v>
      </c>
      <c r="F186" s="20">
        <f t="shared" si="2"/>
        <v>4.2328656716417941</v>
      </c>
      <c r="G186" s="20">
        <f>E186-F186</f>
        <v>0.94713432835820566</v>
      </c>
      <c r="H186" s="6">
        <v>223</v>
      </c>
      <c r="I186" s="8" t="s">
        <v>11</v>
      </c>
      <c r="J186" s="5"/>
    </row>
    <row r="187" spans="1:10" s="11" customFormat="1">
      <c r="A187" s="8">
        <v>1</v>
      </c>
      <c r="B187" s="8" t="s">
        <v>9</v>
      </c>
      <c r="C187" s="5" t="s">
        <v>121</v>
      </c>
      <c r="D187" s="6">
        <v>1</v>
      </c>
      <c r="E187" s="8">
        <v>0</v>
      </c>
      <c r="F187" s="20">
        <f t="shared" si="2"/>
        <v>4.2328656716417941</v>
      </c>
      <c r="G187" s="20">
        <f>E187-F187</f>
        <v>-4.2328656716417941</v>
      </c>
      <c r="H187" s="8">
        <v>62</v>
      </c>
      <c r="I187" s="8" t="s">
        <v>11</v>
      </c>
      <c r="J187" s="5"/>
    </row>
    <row r="188" spans="1:10">
      <c r="A188" s="8">
        <v>1</v>
      </c>
      <c r="B188" s="8" t="s">
        <v>9</v>
      </c>
      <c r="C188" s="5" t="s">
        <v>121</v>
      </c>
      <c r="D188" s="6">
        <v>1</v>
      </c>
      <c r="E188" s="8">
        <v>4.7300000000000004</v>
      </c>
      <c r="F188" s="20">
        <f t="shared" si="2"/>
        <v>4.2328656716417941</v>
      </c>
      <c r="G188" s="20">
        <f>E188-F188</f>
        <v>0.49713432835820637</v>
      </c>
      <c r="H188" s="8">
        <v>20</v>
      </c>
      <c r="I188" s="8" t="s">
        <v>11</v>
      </c>
      <c r="J188" s="5"/>
    </row>
    <row r="189" spans="1:10" s="11" customFormat="1">
      <c r="A189" s="8">
        <v>1</v>
      </c>
      <c r="B189" s="8" t="s">
        <v>9</v>
      </c>
      <c r="C189" s="5" t="s">
        <v>122</v>
      </c>
      <c r="D189" s="6">
        <v>1</v>
      </c>
      <c r="E189" s="8">
        <v>3.15</v>
      </c>
      <c r="F189" s="20">
        <f t="shared" si="2"/>
        <v>4.2328656716417941</v>
      </c>
      <c r="G189" s="20">
        <f>E189-F189</f>
        <v>-1.0828656716417941</v>
      </c>
      <c r="H189" s="8">
        <v>367</v>
      </c>
      <c r="I189" s="8" t="s">
        <v>11</v>
      </c>
      <c r="J189" s="5"/>
    </row>
    <row r="190" spans="1:10">
      <c r="A190" s="8">
        <v>1</v>
      </c>
      <c r="B190" s="8" t="s">
        <v>9</v>
      </c>
      <c r="C190" s="5" t="s">
        <v>123</v>
      </c>
      <c r="D190" s="6">
        <v>1</v>
      </c>
      <c r="E190" s="6">
        <v>9.3000000000000007</v>
      </c>
      <c r="F190" s="20">
        <f t="shared" si="2"/>
        <v>4.2328656716417941</v>
      </c>
      <c r="G190" s="20">
        <f>E190-F190</f>
        <v>5.0671343283582067</v>
      </c>
      <c r="H190" s="6">
        <v>486</v>
      </c>
      <c r="I190" s="8" t="s">
        <v>11</v>
      </c>
      <c r="J190" s="5"/>
    </row>
    <row r="191" spans="1:10" s="11" customFormat="1">
      <c r="A191" s="8">
        <v>1</v>
      </c>
      <c r="B191" s="8" t="s">
        <v>9</v>
      </c>
      <c r="C191" s="5" t="s">
        <v>123</v>
      </c>
      <c r="D191" s="6">
        <v>1</v>
      </c>
      <c r="E191" s="6">
        <v>2.8</v>
      </c>
      <c r="F191" s="20">
        <f t="shared" si="2"/>
        <v>4.2328656716417941</v>
      </c>
      <c r="G191" s="20">
        <f>E191-F191</f>
        <v>-1.4328656716417942</v>
      </c>
      <c r="H191" s="6">
        <v>45</v>
      </c>
      <c r="I191" s="8" t="s">
        <v>11</v>
      </c>
      <c r="J191" s="5"/>
    </row>
    <row r="192" spans="1:10" s="11" customFormat="1">
      <c r="A192" s="8">
        <v>1</v>
      </c>
      <c r="B192" s="8" t="s">
        <v>9</v>
      </c>
      <c r="C192" s="5" t="s">
        <v>124</v>
      </c>
      <c r="D192" s="6">
        <v>1</v>
      </c>
      <c r="E192" s="6">
        <v>6.14</v>
      </c>
      <c r="F192" s="20">
        <f t="shared" si="2"/>
        <v>4.2328656716417941</v>
      </c>
      <c r="G192" s="20">
        <f>E192-F192</f>
        <v>1.9071343283582056</v>
      </c>
      <c r="H192" s="6">
        <v>32</v>
      </c>
      <c r="I192" s="8" t="s">
        <v>11</v>
      </c>
      <c r="J192" s="5"/>
    </row>
    <row r="193" spans="1:10">
      <c r="A193" s="8">
        <v>1</v>
      </c>
      <c r="B193" s="8" t="s">
        <v>9</v>
      </c>
      <c r="C193" s="5" t="s">
        <v>125</v>
      </c>
      <c r="D193" s="6">
        <v>1</v>
      </c>
      <c r="E193" s="6">
        <v>6.71</v>
      </c>
      <c r="F193" s="20">
        <f t="shared" si="2"/>
        <v>4.2328656716417941</v>
      </c>
      <c r="G193" s="20">
        <f>E193-F193</f>
        <v>2.4771343283582059</v>
      </c>
      <c r="H193" s="6">
        <v>23</v>
      </c>
      <c r="I193" s="8" t="s">
        <v>11</v>
      </c>
      <c r="J193" s="5"/>
    </row>
    <row r="194" spans="1:10" s="11" customFormat="1">
      <c r="A194" s="8">
        <v>1</v>
      </c>
      <c r="B194" s="8" t="s">
        <v>9</v>
      </c>
      <c r="C194" s="5" t="s">
        <v>126</v>
      </c>
      <c r="D194" s="6">
        <v>1</v>
      </c>
      <c r="E194" s="8">
        <v>18.55</v>
      </c>
      <c r="F194" s="20">
        <f t="shared" ref="F194:F257" si="3">AVERAGE(E$2:E$336)</f>
        <v>4.2328656716417941</v>
      </c>
      <c r="G194" s="20">
        <f>E194-F194</f>
        <v>14.317134328358208</v>
      </c>
      <c r="H194" s="8">
        <v>359</v>
      </c>
      <c r="I194" s="8" t="s">
        <v>11</v>
      </c>
      <c r="J194" s="5"/>
    </row>
    <row r="195" spans="1:10">
      <c r="A195" s="8">
        <v>1</v>
      </c>
      <c r="B195" s="8" t="s">
        <v>9</v>
      </c>
      <c r="C195" s="5" t="s">
        <v>127</v>
      </c>
      <c r="D195" s="6">
        <v>1</v>
      </c>
      <c r="E195" s="8">
        <v>2.87</v>
      </c>
      <c r="F195" s="20">
        <f t="shared" si="3"/>
        <v>4.2328656716417941</v>
      </c>
      <c r="G195" s="20">
        <f>E195-F195</f>
        <v>-1.362865671641794</v>
      </c>
      <c r="H195" s="8">
        <v>6948</v>
      </c>
      <c r="I195" s="8" t="s">
        <v>11</v>
      </c>
      <c r="J195" s="5"/>
    </row>
    <row r="196" spans="1:10" s="11" customFormat="1">
      <c r="A196" s="8">
        <v>1</v>
      </c>
      <c r="B196" s="8" t="s">
        <v>9</v>
      </c>
      <c r="C196" s="5" t="s">
        <v>128</v>
      </c>
      <c r="D196" s="6">
        <v>1</v>
      </c>
      <c r="E196" s="8">
        <v>1.74</v>
      </c>
      <c r="F196" s="20">
        <f t="shared" si="3"/>
        <v>4.2328656716417941</v>
      </c>
      <c r="G196" s="20">
        <f>E196-F196</f>
        <v>-2.4928656716417938</v>
      </c>
      <c r="H196" s="8">
        <v>38</v>
      </c>
      <c r="I196" s="8" t="s">
        <v>11</v>
      </c>
      <c r="J196" s="5"/>
    </row>
    <row r="197" spans="1:10">
      <c r="A197" s="8">
        <v>1</v>
      </c>
      <c r="B197" s="8" t="s">
        <v>9</v>
      </c>
      <c r="C197" s="5" t="s">
        <v>129</v>
      </c>
      <c r="D197" s="6">
        <v>1</v>
      </c>
      <c r="E197" s="6">
        <v>4.71</v>
      </c>
      <c r="F197" s="20">
        <f t="shared" si="3"/>
        <v>4.2328656716417941</v>
      </c>
      <c r="G197" s="20">
        <f>E197-F197</f>
        <v>0.47713432835820591</v>
      </c>
      <c r="H197" s="6">
        <v>326</v>
      </c>
      <c r="I197" s="8" t="s">
        <v>11</v>
      </c>
      <c r="J197" s="5"/>
    </row>
    <row r="198" spans="1:10" s="11" customFormat="1">
      <c r="A198" s="8">
        <v>1</v>
      </c>
      <c r="B198" s="8" t="s">
        <v>9</v>
      </c>
      <c r="C198" s="5" t="s">
        <v>129</v>
      </c>
      <c r="D198" s="6">
        <v>1</v>
      </c>
      <c r="E198" s="6">
        <v>3.05</v>
      </c>
      <c r="F198" s="20">
        <f t="shared" si="3"/>
        <v>4.2328656716417941</v>
      </c>
      <c r="G198" s="20">
        <f>E198-F198</f>
        <v>-1.1828656716417942</v>
      </c>
      <c r="H198" s="6">
        <v>23</v>
      </c>
      <c r="I198" s="8" t="s">
        <v>11</v>
      </c>
      <c r="J198" s="5"/>
    </row>
    <row r="199" spans="1:10" s="11" customFormat="1">
      <c r="A199" s="8">
        <v>1</v>
      </c>
      <c r="B199" s="8" t="s">
        <v>9</v>
      </c>
      <c r="C199" s="5" t="s">
        <v>130</v>
      </c>
      <c r="D199" s="6">
        <v>1</v>
      </c>
      <c r="E199" s="6">
        <v>5.54</v>
      </c>
      <c r="F199" s="20">
        <f t="shared" si="3"/>
        <v>4.2328656716417941</v>
      </c>
      <c r="G199" s="20">
        <f>E199-F199</f>
        <v>1.307134328358206</v>
      </c>
      <c r="H199" s="6">
        <v>105</v>
      </c>
      <c r="I199" s="8" t="s">
        <v>11</v>
      </c>
      <c r="J199" s="5"/>
    </row>
    <row r="200" spans="1:10">
      <c r="A200" s="8">
        <v>1</v>
      </c>
      <c r="B200" s="8" t="s">
        <v>9</v>
      </c>
      <c r="C200" s="5" t="s">
        <v>131</v>
      </c>
      <c r="D200" s="6">
        <v>1</v>
      </c>
      <c r="E200" s="6">
        <v>3.03</v>
      </c>
      <c r="F200" s="20">
        <f t="shared" si="3"/>
        <v>4.2328656716417941</v>
      </c>
      <c r="G200" s="20">
        <f>E200-F200</f>
        <v>-1.2028656716417943</v>
      </c>
      <c r="H200" s="6">
        <v>76</v>
      </c>
      <c r="I200" s="8" t="s">
        <v>11</v>
      </c>
      <c r="J200" s="5"/>
    </row>
    <row r="201" spans="1:10" s="11" customFormat="1">
      <c r="A201" s="8">
        <v>1</v>
      </c>
      <c r="B201" s="8" t="s">
        <v>9</v>
      </c>
      <c r="C201" s="5" t="s">
        <v>132</v>
      </c>
      <c r="D201" s="6">
        <v>1</v>
      </c>
      <c r="E201" s="8">
        <v>6.19</v>
      </c>
      <c r="F201" s="20">
        <f t="shared" si="3"/>
        <v>4.2328656716417941</v>
      </c>
      <c r="G201" s="20">
        <f>E201-F201</f>
        <v>1.9571343283582063</v>
      </c>
      <c r="H201" s="8">
        <v>62</v>
      </c>
      <c r="I201" s="8" t="s">
        <v>11</v>
      </c>
      <c r="J201" s="5"/>
    </row>
    <row r="202" spans="1:10">
      <c r="A202" s="8">
        <v>1</v>
      </c>
      <c r="B202" s="8" t="s">
        <v>9</v>
      </c>
      <c r="C202" s="5" t="s">
        <v>133</v>
      </c>
      <c r="D202" s="6">
        <v>1</v>
      </c>
      <c r="E202" s="8">
        <v>3.31</v>
      </c>
      <c r="F202" s="20">
        <f t="shared" si="3"/>
        <v>4.2328656716417941</v>
      </c>
      <c r="G202" s="20">
        <f>E202-F202</f>
        <v>-0.92286567164179401</v>
      </c>
      <c r="H202" s="8">
        <v>322</v>
      </c>
      <c r="I202" s="8" t="s">
        <v>11</v>
      </c>
      <c r="J202" s="5"/>
    </row>
    <row r="203" spans="1:10" s="11" customFormat="1">
      <c r="A203" s="8">
        <v>1</v>
      </c>
      <c r="B203" s="8" t="s">
        <v>9</v>
      </c>
      <c r="C203" s="5" t="s">
        <v>133</v>
      </c>
      <c r="D203" s="6">
        <v>1</v>
      </c>
      <c r="E203" s="8">
        <v>0</v>
      </c>
      <c r="F203" s="20">
        <f t="shared" si="3"/>
        <v>4.2328656716417941</v>
      </c>
      <c r="G203" s="20">
        <f>E203-F203</f>
        <v>-4.2328656716417941</v>
      </c>
      <c r="H203" s="8">
        <v>24</v>
      </c>
      <c r="I203" s="8" t="s">
        <v>11</v>
      </c>
      <c r="J203" s="5"/>
    </row>
    <row r="204" spans="1:10">
      <c r="A204" s="8">
        <v>1</v>
      </c>
      <c r="B204" s="8" t="s">
        <v>9</v>
      </c>
      <c r="C204" s="5" t="s">
        <v>134</v>
      </c>
      <c r="D204" s="6">
        <v>1</v>
      </c>
      <c r="E204" s="6">
        <v>9.5500000000000007</v>
      </c>
      <c r="F204" s="20">
        <f t="shared" si="3"/>
        <v>4.2328656716417941</v>
      </c>
      <c r="G204" s="20">
        <f>E204-F204</f>
        <v>5.3171343283582067</v>
      </c>
      <c r="H204" s="6">
        <v>182</v>
      </c>
      <c r="I204" s="8" t="s">
        <v>11</v>
      </c>
      <c r="J204" s="5"/>
    </row>
    <row r="205" spans="1:10" s="11" customFormat="1">
      <c r="A205" s="8">
        <v>1</v>
      </c>
      <c r="B205" s="8" t="s">
        <v>9</v>
      </c>
      <c r="C205" s="5" t="s">
        <v>134</v>
      </c>
      <c r="D205" s="6">
        <v>1</v>
      </c>
      <c r="E205" s="6">
        <v>4.53</v>
      </c>
      <c r="F205" s="20">
        <f t="shared" si="3"/>
        <v>4.2328656716417941</v>
      </c>
      <c r="G205" s="20">
        <f>E205-F205</f>
        <v>0.29713432835820619</v>
      </c>
      <c r="H205" s="6">
        <v>33</v>
      </c>
      <c r="I205" s="8" t="s">
        <v>11</v>
      </c>
      <c r="J205" s="5"/>
    </row>
    <row r="206" spans="1:10" s="11" customFormat="1">
      <c r="A206" s="8">
        <v>1</v>
      </c>
      <c r="B206" s="8" t="s">
        <v>9</v>
      </c>
      <c r="C206" s="5" t="s">
        <v>135</v>
      </c>
      <c r="D206" s="6">
        <v>1</v>
      </c>
      <c r="E206" s="6">
        <v>7.09</v>
      </c>
      <c r="F206" s="20">
        <f t="shared" si="3"/>
        <v>4.2328656716417941</v>
      </c>
      <c r="G206" s="20">
        <f>E206-F206</f>
        <v>2.8571343283582058</v>
      </c>
      <c r="H206" s="6">
        <v>260</v>
      </c>
      <c r="I206" s="8" t="s">
        <v>11</v>
      </c>
      <c r="J206" s="5"/>
    </row>
    <row r="207" spans="1:10">
      <c r="A207" s="8">
        <v>1</v>
      </c>
      <c r="B207" s="8" t="s">
        <v>9</v>
      </c>
      <c r="C207" s="5" t="s">
        <v>136</v>
      </c>
      <c r="D207" s="6">
        <v>1</v>
      </c>
      <c r="E207" s="6">
        <v>7.1</v>
      </c>
      <c r="F207" s="20">
        <f t="shared" si="3"/>
        <v>4.2328656716417941</v>
      </c>
      <c r="G207" s="20">
        <f>E207-F207</f>
        <v>2.8671343283582056</v>
      </c>
      <c r="H207" s="6">
        <v>962</v>
      </c>
      <c r="I207" s="8" t="s">
        <v>11</v>
      </c>
      <c r="J207" s="5"/>
    </row>
    <row r="208" spans="1:10" s="11" customFormat="1">
      <c r="A208" s="8">
        <v>1</v>
      </c>
      <c r="B208" s="8" t="s">
        <v>9</v>
      </c>
      <c r="C208" s="5" t="s">
        <v>136</v>
      </c>
      <c r="D208" s="6">
        <v>1</v>
      </c>
      <c r="E208" s="8">
        <v>2.4700000000000002</v>
      </c>
      <c r="F208" s="20">
        <f t="shared" si="3"/>
        <v>4.2328656716417941</v>
      </c>
      <c r="G208" s="20">
        <f>E208-F208</f>
        <v>-1.7628656716417939</v>
      </c>
      <c r="H208" s="8">
        <v>167</v>
      </c>
      <c r="I208" s="8" t="s">
        <v>11</v>
      </c>
      <c r="J208" s="5"/>
    </row>
    <row r="209" spans="1:10">
      <c r="A209" s="8">
        <v>1</v>
      </c>
      <c r="B209" s="8" t="s">
        <v>9</v>
      </c>
      <c r="C209" s="5" t="s">
        <v>137</v>
      </c>
      <c r="D209" s="6">
        <v>1</v>
      </c>
      <c r="E209" s="8">
        <v>2.33</v>
      </c>
      <c r="F209" s="20">
        <f t="shared" si="3"/>
        <v>4.2328656716417941</v>
      </c>
      <c r="G209" s="20">
        <f>E209-F209</f>
        <v>-1.902865671641794</v>
      </c>
      <c r="H209" s="8">
        <v>1038</v>
      </c>
      <c r="I209" s="8" t="s">
        <v>11</v>
      </c>
      <c r="J209" s="5"/>
    </row>
    <row r="210" spans="1:10" s="11" customFormat="1">
      <c r="A210" s="8">
        <v>1</v>
      </c>
      <c r="B210" s="8" t="s">
        <v>9</v>
      </c>
      <c r="C210" s="5" t="s">
        <v>137</v>
      </c>
      <c r="D210" s="6">
        <v>1</v>
      </c>
      <c r="E210" s="8">
        <v>0.56999999999999995</v>
      </c>
      <c r="F210" s="20">
        <f t="shared" si="3"/>
        <v>4.2328656716417941</v>
      </c>
      <c r="G210" s="20">
        <f>E210-F210</f>
        <v>-3.6628656716417942</v>
      </c>
      <c r="H210" s="8">
        <v>752</v>
      </c>
      <c r="I210" s="8" t="s">
        <v>11</v>
      </c>
      <c r="J210" s="5"/>
    </row>
    <row r="211" spans="1:10">
      <c r="A211" s="8">
        <v>1</v>
      </c>
      <c r="B211" s="8" t="s">
        <v>9</v>
      </c>
      <c r="C211" s="5" t="s">
        <v>138</v>
      </c>
      <c r="D211" s="6">
        <v>1</v>
      </c>
      <c r="E211" s="6">
        <v>5.35</v>
      </c>
      <c r="F211" s="20">
        <f t="shared" si="3"/>
        <v>4.2328656716417941</v>
      </c>
      <c r="G211" s="20">
        <f>E211-F211</f>
        <v>1.1171343283582056</v>
      </c>
      <c r="H211" s="6">
        <v>392</v>
      </c>
      <c r="I211" s="8" t="s">
        <v>11</v>
      </c>
      <c r="J211" s="5"/>
    </row>
    <row r="212" spans="1:10" s="11" customFormat="1">
      <c r="A212" s="8">
        <v>1</v>
      </c>
      <c r="B212" s="8" t="s">
        <v>9</v>
      </c>
      <c r="C212" s="5" t="s">
        <v>138</v>
      </c>
      <c r="D212" s="6">
        <v>1</v>
      </c>
      <c r="E212" s="6">
        <v>4.05</v>
      </c>
      <c r="F212" s="20">
        <f t="shared" si="3"/>
        <v>4.2328656716417941</v>
      </c>
      <c r="G212" s="20">
        <f>E212-F212</f>
        <v>-0.18286567164179424</v>
      </c>
      <c r="H212" s="6">
        <v>50</v>
      </c>
      <c r="I212" s="8" t="s">
        <v>11</v>
      </c>
      <c r="J212" s="5"/>
    </row>
    <row r="213" spans="1:10" s="11" customFormat="1">
      <c r="A213" s="8">
        <v>1</v>
      </c>
      <c r="B213" s="8" t="s">
        <v>9</v>
      </c>
      <c r="C213" s="5" t="s">
        <v>139</v>
      </c>
      <c r="D213" s="6">
        <v>1</v>
      </c>
      <c r="E213" s="6">
        <v>0.57999999999999996</v>
      </c>
      <c r="F213" s="20">
        <f t="shared" si="3"/>
        <v>4.2328656716417941</v>
      </c>
      <c r="G213" s="20">
        <f>E213-F213</f>
        <v>-3.652865671641794</v>
      </c>
      <c r="H213" s="6">
        <v>48</v>
      </c>
      <c r="I213" s="8" t="s">
        <v>11</v>
      </c>
      <c r="J213" s="5"/>
    </row>
    <row r="214" spans="1:10">
      <c r="A214" s="8">
        <v>1</v>
      </c>
      <c r="B214" s="8" t="s">
        <v>9</v>
      </c>
      <c r="C214" s="5" t="s">
        <v>140</v>
      </c>
      <c r="D214" s="6">
        <v>1</v>
      </c>
      <c r="E214" s="6">
        <v>0.77</v>
      </c>
      <c r="F214" s="20">
        <f t="shared" si="3"/>
        <v>4.2328656716417941</v>
      </c>
      <c r="G214" s="20">
        <f>E214-F214</f>
        <v>-3.462865671641794</v>
      </c>
      <c r="H214" s="6">
        <v>1122</v>
      </c>
      <c r="I214" s="8" t="s">
        <v>11</v>
      </c>
      <c r="J214" s="5"/>
    </row>
    <row r="215" spans="1:10" s="11" customFormat="1">
      <c r="A215" s="8">
        <v>1</v>
      </c>
      <c r="B215" s="8" t="s">
        <v>9</v>
      </c>
      <c r="C215" s="5" t="s">
        <v>141</v>
      </c>
      <c r="D215" s="6">
        <v>1</v>
      </c>
      <c r="E215" s="6">
        <v>11.79</v>
      </c>
      <c r="F215" s="20">
        <f t="shared" si="3"/>
        <v>4.2328656716417941</v>
      </c>
      <c r="G215" s="20">
        <f>E215-F215</f>
        <v>7.5571343283582051</v>
      </c>
      <c r="H215" s="6">
        <v>377</v>
      </c>
      <c r="I215" s="8" t="s">
        <v>11</v>
      </c>
      <c r="J215" s="5"/>
    </row>
    <row r="216" spans="1:10">
      <c r="A216" s="8">
        <v>1</v>
      </c>
      <c r="B216" s="8" t="s">
        <v>9</v>
      </c>
      <c r="C216" s="5" t="s">
        <v>142</v>
      </c>
      <c r="D216" s="6">
        <v>1</v>
      </c>
      <c r="E216" s="6">
        <v>3.54</v>
      </c>
      <c r="F216" s="20">
        <f t="shared" si="3"/>
        <v>4.2328656716417941</v>
      </c>
      <c r="G216" s="20">
        <f>E216-F216</f>
        <v>-0.69286567164179402</v>
      </c>
      <c r="H216" s="6">
        <v>566</v>
      </c>
      <c r="I216" s="8" t="s">
        <v>11</v>
      </c>
      <c r="J216" s="5"/>
    </row>
    <row r="217" spans="1:10" s="11" customFormat="1">
      <c r="A217" s="8">
        <v>1</v>
      </c>
      <c r="B217" s="8" t="s">
        <v>9</v>
      </c>
      <c r="C217" s="5" t="s">
        <v>143</v>
      </c>
      <c r="D217" s="6">
        <v>1</v>
      </c>
      <c r="E217" s="8">
        <v>3.53</v>
      </c>
      <c r="F217" s="20">
        <f t="shared" si="3"/>
        <v>4.2328656716417941</v>
      </c>
      <c r="G217" s="20">
        <f>E217-F217</f>
        <v>-0.70286567164179425</v>
      </c>
      <c r="H217" s="8">
        <v>255</v>
      </c>
      <c r="I217" s="8" t="s">
        <v>11</v>
      </c>
      <c r="J217" s="5"/>
    </row>
    <row r="218" spans="1:10">
      <c r="A218" s="8">
        <v>1</v>
      </c>
      <c r="B218" s="8" t="s">
        <v>9</v>
      </c>
      <c r="C218" s="5" t="s">
        <v>144</v>
      </c>
      <c r="D218" s="6">
        <v>1</v>
      </c>
      <c r="E218" s="8">
        <v>5.95</v>
      </c>
      <c r="F218" s="20">
        <f t="shared" si="3"/>
        <v>4.2328656716417941</v>
      </c>
      <c r="G218" s="20">
        <f>E218-F218</f>
        <v>1.7171343283582061</v>
      </c>
      <c r="H218" s="8">
        <v>70</v>
      </c>
      <c r="I218" s="8" t="s">
        <v>11</v>
      </c>
      <c r="J218" s="5"/>
    </row>
    <row r="219" spans="1:10" s="11" customFormat="1">
      <c r="A219" s="8">
        <v>1</v>
      </c>
      <c r="B219" s="8" t="s">
        <v>9</v>
      </c>
      <c r="C219" s="5" t="s">
        <v>145</v>
      </c>
      <c r="D219" s="6">
        <v>1</v>
      </c>
      <c r="E219" s="8">
        <v>2.5099999999999998</v>
      </c>
      <c r="F219" s="20">
        <f t="shared" si="3"/>
        <v>4.2328656716417941</v>
      </c>
      <c r="G219" s="20">
        <f>E219-F219</f>
        <v>-1.7228656716417943</v>
      </c>
      <c r="H219" s="8">
        <v>1131</v>
      </c>
      <c r="I219" s="8" t="s">
        <v>11</v>
      </c>
      <c r="J219" s="5"/>
    </row>
    <row r="220" spans="1:10" s="11" customFormat="1">
      <c r="A220" s="8">
        <v>1</v>
      </c>
      <c r="B220" s="8" t="s">
        <v>9</v>
      </c>
      <c r="C220" s="5" t="s">
        <v>145</v>
      </c>
      <c r="D220" s="6">
        <v>1</v>
      </c>
      <c r="E220" s="6">
        <v>2.96</v>
      </c>
      <c r="F220" s="20">
        <f t="shared" si="3"/>
        <v>4.2328656716417941</v>
      </c>
      <c r="G220" s="20">
        <f>E220-F220</f>
        <v>-1.2728656716417941</v>
      </c>
      <c r="H220" s="6">
        <v>38</v>
      </c>
      <c r="I220" s="8" t="s">
        <v>11</v>
      </c>
      <c r="J220" s="5"/>
    </row>
    <row r="221" spans="1:10">
      <c r="A221" s="8">
        <v>1</v>
      </c>
      <c r="B221" s="8" t="s">
        <v>9</v>
      </c>
      <c r="C221" s="5" t="s">
        <v>146</v>
      </c>
      <c r="D221" s="6">
        <v>1</v>
      </c>
      <c r="E221" s="6">
        <v>12.59</v>
      </c>
      <c r="F221" s="20">
        <f t="shared" si="3"/>
        <v>4.2328656716417941</v>
      </c>
      <c r="G221" s="20">
        <f>E221-F221</f>
        <v>8.3571343283582067</v>
      </c>
      <c r="H221" s="6">
        <v>219</v>
      </c>
      <c r="I221" s="8" t="s">
        <v>11</v>
      </c>
      <c r="J221" s="5"/>
    </row>
    <row r="222" spans="1:10" s="11" customFormat="1">
      <c r="A222" s="8">
        <v>1</v>
      </c>
      <c r="B222" s="8" t="s">
        <v>9</v>
      </c>
      <c r="C222" s="5" t="s">
        <v>147</v>
      </c>
      <c r="D222" s="6">
        <v>1</v>
      </c>
      <c r="E222" s="6">
        <v>7.98</v>
      </c>
      <c r="F222" s="20">
        <f t="shared" si="3"/>
        <v>4.2328656716417941</v>
      </c>
      <c r="G222" s="20">
        <f>E222-F222</f>
        <v>3.7471343283582064</v>
      </c>
      <c r="H222" s="6">
        <v>107</v>
      </c>
      <c r="I222" s="8" t="s">
        <v>11</v>
      </c>
      <c r="J222" s="5"/>
    </row>
    <row r="223" spans="1:10">
      <c r="A223" s="8">
        <v>1</v>
      </c>
      <c r="B223" s="8" t="s">
        <v>9</v>
      </c>
      <c r="C223" s="5" t="s">
        <v>148</v>
      </c>
      <c r="D223" s="6">
        <v>1</v>
      </c>
      <c r="E223" s="6">
        <v>4.4800000000000004</v>
      </c>
      <c r="F223" s="20">
        <f t="shared" si="3"/>
        <v>4.2328656716417941</v>
      </c>
      <c r="G223" s="20">
        <f>E223-F223</f>
        <v>0.24713432835820637</v>
      </c>
      <c r="H223" s="6">
        <v>3147</v>
      </c>
      <c r="I223" s="8" t="s">
        <v>11</v>
      </c>
      <c r="J223" s="5"/>
    </row>
    <row r="224" spans="1:10" s="11" customFormat="1">
      <c r="A224" s="8">
        <v>1</v>
      </c>
      <c r="B224" s="8" t="s">
        <v>9</v>
      </c>
      <c r="C224" s="5" t="s">
        <v>149</v>
      </c>
      <c r="D224" s="6">
        <v>1</v>
      </c>
      <c r="E224" s="8">
        <v>20.87</v>
      </c>
      <c r="F224" s="20">
        <f t="shared" si="3"/>
        <v>4.2328656716417941</v>
      </c>
      <c r="G224" s="20">
        <f>E224-F224</f>
        <v>16.637134328358208</v>
      </c>
      <c r="H224" s="8">
        <v>120</v>
      </c>
      <c r="I224" s="8" t="s">
        <v>11</v>
      </c>
      <c r="J224" s="5"/>
    </row>
    <row r="225" spans="1:10">
      <c r="A225" s="8">
        <v>1</v>
      </c>
      <c r="B225" s="8" t="s">
        <v>9</v>
      </c>
      <c r="C225" s="5" t="s">
        <v>150</v>
      </c>
      <c r="D225" s="6">
        <v>1</v>
      </c>
      <c r="E225" s="8">
        <v>6.14</v>
      </c>
      <c r="F225" s="20">
        <f t="shared" si="3"/>
        <v>4.2328656716417941</v>
      </c>
      <c r="G225" s="20">
        <f>E225-F225</f>
        <v>1.9071343283582056</v>
      </c>
      <c r="H225" s="8">
        <v>110</v>
      </c>
      <c r="I225" s="8" t="s">
        <v>11</v>
      </c>
      <c r="J225" s="5"/>
    </row>
    <row r="226" spans="1:10" s="11" customFormat="1">
      <c r="A226" s="8">
        <v>1</v>
      </c>
      <c r="B226" s="6" t="s">
        <v>9</v>
      </c>
      <c r="C226" s="5" t="s">
        <v>151</v>
      </c>
      <c r="D226" s="6">
        <v>1</v>
      </c>
      <c r="E226" s="6">
        <v>3.55</v>
      </c>
      <c r="F226" s="20">
        <f t="shared" si="3"/>
        <v>4.2328656716417941</v>
      </c>
      <c r="G226" s="20">
        <f>E226-F226</f>
        <v>-0.68286567164179424</v>
      </c>
      <c r="H226" s="6">
        <v>171</v>
      </c>
      <c r="I226" s="6" t="s">
        <v>11</v>
      </c>
      <c r="J226" s="5"/>
    </row>
    <row r="227" spans="1:10" s="11" customFormat="1">
      <c r="A227" s="8">
        <v>1</v>
      </c>
      <c r="B227" s="8" t="s">
        <v>9</v>
      </c>
      <c r="C227" s="5" t="s">
        <v>152</v>
      </c>
      <c r="D227" s="6">
        <v>1</v>
      </c>
      <c r="E227" s="6">
        <v>3.16</v>
      </c>
      <c r="F227" s="20">
        <f t="shared" si="3"/>
        <v>4.2328656716417941</v>
      </c>
      <c r="G227" s="20">
        <f>E227-F227</f>
        <v>-1.0728656716417939</v>
      </c>
      <c r="H227" s="6">
        <v>185</v>
      </c>
      <c r="I227" s="8" t="s">
        <v>11</v>
      </c>
      <c r="J227" s="5"/>
    </row>
    <row r="228" spans="1:10">
      <c r="A228" s="8">
        <v>1</v>
      </c>
      <c r="B228" s="8" t="s">
        <v>9</v>
      </c>
      <c r="C228" s="5" t="s">
        <v>152</v>
      </c>
      <c r="D228" s="6">
        <v>1</v>
      </c>
      <c r="E228" s="6">
        <v>2.2599999999999998</v>
      </c>
      <c r="F228" s="20">
        <f t="shared" si="3"/>
        <v>4.2328656716417941</v>
      </c>
      <c r="G228" s="20">
        <f>E228-F228</f>
        <v>-1.9728656716417943</v>
      </c>
      <c r="H228" s="6">
        <v>71</v>
      </c>
      <c r="I228" s="8" t="s">
        <v>11</v>
      </c>
      <c r="J228" s="5"/>
    </row>
    <row r="229" spans="1:10" s="11" customFormat="1">
      <c r="A229" s="8">
        <v>1</v>
      </c>
      <c r="B229" s="8" t="s">
        <v>9</v>
      </c>
      <c r="C229" s="5" t="s">
        <v>153</v>
      </c>
      <c r="D229" s="6">
        <v>1</v>
      </c>
      <c r="E229" s="6">
        <v>5.36</v>
      </c>
      <c r="F229" s="20">
        <f t="shared" si="3"/>
        <v>4.2328656716417941</v>
      </c>
      <c r="G229" s="20">
        <f>E229-F229</f>
        <v>1.1271343283582063</v>
      </c>
      <c r="H229" s="6">
        <v>112</v>
      </c>
      <c r="I229" s="8" t="s">
        <v>11</v>
      </c>
      <c r="J229" s="5"/>
    </row>
    <row r="230" spans="1:10">
      <c r="A230" s="8">
        <v>1</v>
      </c>
      <c r="B230" s="8" t="s">
        <v>9</v>
      </c>
      <c r="C230" s="5" t="s">
        <v>153</v>
      </c>
      <c r="D230" s="6">
        <v>1</v>
      </c>
      <c r="E230" s="6">
        <v>5.22</v>
      </c>
      <c r="F230" s="20">
        <f t="shared" si="3"/>
        <v>4.2328656716417941</v>
      </c>
      <c r="G230" s="20">
        <f>E230-F230</f>
        <v>0.98713432835820569</v>
      </c>
      <c r="H230" s="6">
        <v>58</v>
      </c>
      <c r="I230" s="8" t="s">
        <v>11</v>
      </c>
      <c r="J230" s="5"/>
    </row>
    <row r="231" spans="1:10" s="11" customFormat="1">
      <c r="A231" s="8">
        <v>1</v>
      </c>
      <c r="B231" s="8" t="s">
        <v>9</v>
      </c>
      <c r="C231" s="5" t="s">
        <v>154</v>
      </c>
      <c r="D231" s="6">
        <v>1</v>
      </c>
      <c r="E231" s="8">
        <v>0.48</v>
      </c>
      <c r="F231" s="20">
        <f t="shared" si="3"/>
        <v>4.2328656716417941</v>
      </c>
      <c r="G231" s="20">
        <f>E231-F231</f>
        <v>-3.7528656716417941</v>
      </c>
      <c r="H231" s="8">
        <v>63</v>
      </c>
      <c r="I231" s="8" t="s">
        <v>11</v>
      </c>
      <c r="J231" s="5"/>
    </row>
    <row r="232" spans="1:10">
      <c r="A232" s="8">
        <v>1</v>
      </c>
      <c r="B232" s="6" t="s">
        <v>9</v>
      </c>
      <c r="C232" s="5" t="s">
        <v>155</v>
      </c>
      <c r="D232" s="6">
        <v>1</v>
      </c>
      <c r="E232" s="6">
        <v>7.77</v>
      </c>
      <c r="F232" s="20">
        <f t="shared" si="3"/>
        <v>4.2328656716417941</v>
      </c>
      <c r="G232" s="20">
        <f>E232-F232</f>
        <v>3.5371343283582055</v>
      </c>
      <c r="H232" s="6">
        <v>2507</v>
      </c>
      <c r="I232" s="6" t="s">
        <v>11</v>
      </c>
      <c r="J232" s="5"/>
    </row>
    <row r="233" spans="1:10" s="11" customFormat="1">
      <c r="A233" s="8">
        <v>1</v>
      </c>
      <c r="B233" s="8" t="s">
        <v>9</v>
      </c>
      <c r="C233" s="5" t="s">
        <v>155</v>
      </c>
      <c r="D233" s="6">
        <v>1</v>
      </c>
      <c r="E233" s="8">
        <v>5.43</v>
      </c>
      <c r="F233" s="20">
        <f t="shared" si="3"/>
        <v>4.2328656716417941</v>
      </c>
      <c r="G233" s="20">
        <f>E233-F233</f>
        <v>1.1971343283582057</v>
      </c>
      <c r="H233" s="8">
        <v>922</v>
      </c>
      <c r="I233" s="8" t="s">
        <v>11</v>
      </c>
      <c r="J233" s="5"/>
    </row>
    <row r="234" spans="1:10" s="11" customFormat="1">
      <c r="A234" s="6">
        <v>1</v>
      </c>
      <c r="B234" s="6" t="s">
        <v>9</v>
      </c>
      <c r="C234" s="5" t="s">
        <v>156</v>
      </c>
      <c r="D234" s="6">
        <v>1</v>
      </c>
      <c r="E234" s="6">
        <v>1.24</v>
      </c>
      <c r="F234" s="20">
        <f t="shared" si="3"/>
        <v>4.2328656716417941</v>
      </c>
      <c r="G234" s="20">
        <f>E234-F234</f>
        <v>-2.9928656716417938</v>
      </c>
      <c r="H234" s="6">
        <v>29</v>
      </c>
      <c r="I234" s="6" t="s">
        <v>11</v>
      </c>
      <c r="J234" s="5"/>
    </row>
    <row r="235" spans="1:10">
      <c r="A235" s="8">
        <v>1</v>
      </c>
      <c r="B235" s="8" t="s">
        <v>9</v>
      </c>
      <c r="C235" s="5" t="s">
        <v>157</v>
      </c>
      <c r="D235" s="6">
        <v>1</v>
      </c>
      <c r="E235" s="6">
        <v>2.0299999999999998</v>
      </c>
      <c r="F235" s="20">
        <f t="shared" si="3"/>
        <v>4.2328656716417941</v>
      </c>
      <c r="G235" s="20">
        <f>E235-F235</f>
        <v>-2.2028656716417943</v>
      </c>
      <c r="H235" s="6">
        <v>1495</v>
      </c>
      <c r="I235" s="8" t="s">
        <v>11</v>
      </c>
      <c r="J235" s="5"/>
    </row>
    <row r="236" spans="1:10" s="11" customFormat="1">
      <c r="A236" s="8">
        <v>1</v>
      </c>
      <c r="B236" s="8" t="s">
        <v>9</v>
      </c>
      <c r="C236" s="5" t="s">
        <v>157</v>
      </c>
      <c r="D236" s="6">
        <v>1</v>
      </c>
      <c r="E236" s="6">
        <v>1.8</v>
      </c>
      <c r="F236" s="20">
        <f t="shared" si="3"/>
        <v>4.2328656716417941</v>
      </c>
      <c r="G236" s="20">
        <f>E236-F236</f>
        <v>-2.4328656716417942</v>
      </c>
      <c r="H236" s="6">
        <v>157</v>
      </c>
      <c r="I236" s="8" t="s">
        <v>11</v>
      </c>
      <c r="J236" s="5"/>
    </row>
    <row r="237" spans="1:10">
      <c r="A237" s="8">
        <v>1</v>
      </c>
      <c r="B237" s="6" t="s">
        <v>9</v>
      </c>
      <c r="C237" s="5" t="s">
        <v>158</v>
      </c>
      <c r="D237" s="6">
        <v>1</v>
      </c>
      <c r="E237" s="6">
        <v>1.19</v>
      </c>
      <c r="F237" s="20">
        <f t="shared" si="3"/>
        <v>4.2328656716417941</v>
      </c>
      <c r="G237" s="20">
        <f>E237-F237</f>
        <v>-3.0428656716417941</v>
      </c>
      <c r="H237" s="6">
        <v>28</v>
      </c>
      <c r="I237" s="6" t="s">
        <v>11</v>
      </c>
      <c r="J237" s="5"/>
    </row>
    <row r="238" spans="1:10" s="11" customFormat="1">
      <c r="A238" s="8">
        <v>1</v>
      </c>
      <c r="B238" s="8" t="s">
        <v>9</v>
      </c>
      <c r="C238" s="5" t="s">
        <v>158</v>
      </c>
      <c r="D238" s="6">
        <v>1</v>
      </c>
      <c r="E238" s="8">
        <v>2.9</v>
      </c>
      <c r="F238" s="20">
        <f t="shared" si="3"/>
        <v>4.2328656716417941</v>
      </c>
      <c r="G238" s="20">
        <f>E238-F238</f>
        <v>-1.3328656716417941</v>
      </c>
      <c r="H238" s="8">
        <v>33</v>
      </c>
      <c r="I238" s="8" t="s">
        <v>11</v>
      </c>
      <c r="J238" s="5"/>
    </row>
    <row r="239" spans="1:10">
      <c r="A239" s="8">
        <v>1</v>
      </c>
      <c r="B239" s="8" t="s">
        <v>9</v>
      </c>
      <c r="C239" s="5" t="s">
        <v>159</v>
      </c>
      <c r="D239" s="6">
        <v>1</v>
      </c>
      <c r="E239" s="8">
        <v>0.47</v>
      </c>
      <c r="F239" s="20">
        <f t="shared" si="3"/>
        <v>4.2328656716417941</v>
      </c>
      <c r="G239" s="20">
        <f>E239-F239</f>
        <v>-3.7628656716417943</v>
      </c>
      <c r="H239" s="8">
        <v>1077</v>
      </c>
      <c r="I239" s="8" t="s">
        <v>11</v>
      </c>
      <c r="J239" s="5"/>
    </row>
    <row r="240" spans="1:10" s="11" customFormat="1">
      <c r="A240" s="8">
        <v>1</v>
      </c>
      <c r="B240" s="8" t="s">
        <v>9</v>
      </c>
      <c r="C240" s="5" t="s">
        <v>159</v>
      </c>
      <c r="D240" s="6">
        <v>1</v>
      </c>
      <c r="E240" s="8">
        <v>0.36</v>
      </c>
      <c r="F240" s="20">
        <f t="shared" si="3"/>
        <v>4.2328656716417941</v>
      </c>
      <c r="G240" s="20">
        <f>E240-F240</f>
        <v>-3.8728656716417942</v>
      </c>
      <c r="H240" s="8">
        <v>279</v>
      </c>
      <c r="I240" s="8" t="s">
        <v>11</v>
      </c>
      <c r="J240" s="5"/>
    </row>
    <row r="241" spans="1:10" s="11" customFormat="1">
      <c r="A241" s="8">
        <v>1</v>
      </c>
      <c r="B241" s="8" t="s">
        <v>9</v>
      </c>
      <c r="C241" s="5" t="s">
        <v>160</v>
      </c>
      <c r="D241" s="6">
        <v>1</v>
      </c>
      <c r="E241" s="6">
        <v>2.98</v>
      </c>
      <c r="F241" s="20">
        <f t="shared" si="3"/>
        <v>4.2328656716417941</v>
      </c>
      <c r="G241" s="20">
        <f>E241-F241</f>
        <v>-1.2528656716417941</v>
      </c>
      <c r="H241" s="6">
        <v>803</v>
      </c>
      <c r="I241" s="8" t="s">
        <v>11</v>
      </c>
      <c r="J241" s="5"/>
    </row>
    <row r="242" spans="1:10">
      <c r="A242" s="8">
        <v>1</v>
      </c>
      <c r="B242" s="8" t="s">
        <v>9</v>
      </c>
      <c r="C242" s="5" t="s">
        <v>160</v>
      </c>
      <c r="D242" s="6">
        <v>1</v>
      </c>
      <c r="E242" s="6">
        <v>7.42</v>
      </c>
      <c r="F242" s="20">
        <f t="shared" si="3"/>
        <v>4.2328656716417941</v>
      </c>
      <c r="G242" s="20">
        <f>E242-F242</f>
        <v>3.1871343283582059</v>
      </c>
      <c r="H242" s="6">
        <v>110</v>
      </c>
      <c r="I242" s="8" t="s">
        <v>11</v>
      </c>
      <c r="J242" s="5"/>
    </row>
    <row r="243" spans="1:10" s="11" customFormat="1">
      <c r="A243" s="8">
        <v>1</v>
      </c>
      <c r="B243" s="6" t="s">
        <v>9</v>
      </c>
      <c r="C243" s="5" t="s">
        <v>161</v>
      </c>
      <c r="D243" s="6">
        <v>1</v>
      </c>
      <c r="E243" s="6">
        <v>1.87</v>
      </c>
      <c r="F243" s="20">
        <f t="shared" si="3"/>
        <v>4.2328656716417941</v>
      </c>
      <c r="G243" s="20">
        <f>E243-F243</f>
        <v>-2.362865671641794</v>
      </c>
      <c r="H243" s="6">
        <v>2650</v>
      </c>
      <c r="I243" s="6" t="s">
        <v>11</v>
      </c>
      <c r="J243" s="5"/>
    </row>
    <row r="244" spans="1:10">
      <c r="A244" s="8">
        <v>1</v>
      </c>
      <c r="B244" s="8" t="s">
        <v>9</v>
      </c>
      <c r="C244" s="5" t="s">
        <v>161</v>
      </c>
      <c r="D244" s="6">
        <v>1</v>
      </c>
      <c r="E244" s="6">
        <v>9</v>
      </c>
      <c r="F244" s="20">
        <f t="shared" si="3"/>
        <v>4.2328656716417941</v>
      </c>
      <c r="G244" s="20">
        <f>E244-F244</f>
        <v>4.7671343283582059</v>
      </c>
      <c r="H244" s="6">
        <v>65</v>
      </c>
      <c r="I244" s="8" t="s">
        <v>11</v>
      </c>
      <c r="J244" s="5"/>
    </row>
    <row r="245" spans="1:10" s="11" customFormat="1">
      <c r="A245" s="8">
        <v>1</v>
      </c>
      <c r="B245" s="8" t="s">
        <v>9</v>
      </c>
      <c r="C245" s="5" t="s">
        <v>162</v>
      </c>
      <c r="D245" s="6">
        <v>1</v>
      </c>
      <c r="E245" s="8">
        <v>1.05</v>
      </c>
      <c r="F245" s="20">
        <f t="shared" si="3"/>
        <v>4.2328656716417941</v>
      </c>
      <c r="G245" s="20">
        <f>E245-F245</f>
        <v>-3.1828656716417942</v>
      </c>
      <c r="H245" s="8">
        <v>2310</v>
      </c>
      <c r="I245" s="8" t="s">
        <v>11</v>
      </c>
      <c r="J245" s="5"/>
    </row>
    <row r="246" spans="1:10">
      <c r="A246" s="8">
        <v>1</v>
      </c>
      <c r="B246" s="8" t="s">
        <v>9</v>
      </c>
      <c r="C246" s="5" t="s">
        <v>162</v>
      </c>
      <c r="D246" s="6">
        <v>1</v>
      </c>
      <c r="E246" s="8">
        <v>2.11</v>
      </c>
      <c r="F246" s="20">
        <f t="shared" si="3"/>
        <v>4.2328656716417941</v>
      </c>
      <c r="G246" s="20">
        <f>E246-F246</f>
        <v>-2.1228656716417942</v>
      </c>
      <c r="H246" s="8">
        <v>354</v>
      </c>
      <c r="I246" s="8" t="s">
        <v>11</v>
      </c>
      <c r="J246" s="5"/>
    </row>
    <row r="247" spans="1:10" s="11" customFormat="1">
      <c r="A247" s="8">
        <v>1</v>
      </c>
      <c r="B247" s="8" t="s">
        <v>9</v>
      </c>
      <c r="C247" s="5" t="s">
        <v>163</v>
      </c>
      <c r="D247" s="6">
        <v>1</v>
      </c>
      <c r="E247" s="8">
        <v>0</v>
      </c>
      <c r="F247" s="20">
        <f t="shared" si="3"/>
        <v>4.2328656716417941</v>
      </c>
      <c r="G247" s="20">
        <f>E247-F247</f>
        <v>-4.2328656716417941</v>
      </c>
      <c r="H247" s="8">
        <v>25</v>
      </c>
      <c r="I247" s="8" t="s">
        <v>11</v>
      </c>
      <c r="J247" s="5"/>
    </row>
    <row r="248" spans="1:10" s="11" customFormat="1">
      <c r="A248" s="8">
        <v>1</v>
      </c>
      <c r="B248" s="8" t="s">
        <v>9</v>
      </c>
      <c r="C248" s="5" t="s">
        <v>164</v>
      </c>
      <c r="D248" s="6">
        <v>1</v>
      </c>
      <c r="E248" s="6">
        <v>12.75</v>
      </c>
      <c r="F248" s="20">
        <f t="shared" si="3"/>
        <v>4.2328656716417941</v>
      </c>
      <c r="G248" s="20">
        <f>E248-F248</f>
        <v>8.5171343283582068</v>
      </c>
      <c r="H248" s="6">
        <v>88</v>
      </c>
      <c r="I248" s="8" t="s">
        <v>11</v>
      </c>
      <c r="J248" s="5"/>
    </row>
    <row r="249" spans="1:10">
      <c r="A249" s="8">
        <v>1</v>
      </c>
      <c r="B249" s="8" t="s">
        <v>9</v>
      </c>
      <c r="C249" s="5" t="s">
        <v>165</v>
      </c>
      <c r="D249" s="6">
        <v>1</v>
      </c>
      <c r="E249" s="6">
        <v>5.21</v>
      </c>
      <c r="F249" s="20">
        <f t="shared" si="3"/>
        <v>4.2328656716417941</v>
      </c>
      <c r="G249" s="20">
        <f>E249-F249</f>
        <v>0.97713432835820591</v>
      </c>
      <c r="H249" s="6">
        <v>102</v>
      </c>
      <c r="I249" s="8" t="s">
        <v>11</v>
      </c>
      <c r="J249" s="5"/>
    </row>
    <row r="250" spans="1:10" s="11" customFormat="1">
      <c r="A250" s="8">
        <v>1</v>
      </c>
      <c r="B250" s="8" t="s">
        <v>9</v>
      </c>
      <c r="C250" s="5" t="s">
        <v>166</v>
      </c>
      <c r="D250" s="6">
        <v>1</v>
      </c>
      <c r="E250" s="6">
        <v>4.22</v>
      </c>
      <c r="F250" s="20">
        <f t="shared" si="3"/>
        <v>4.2328656716417941</v>
      </c>
      <c r="G250" s="20">
        <f>E250-F250</f>
        <v>-1.2865671641794307E-2</v>
      </c>
      <c r="H250" s="6">
        <v>6167</v>
      </c>
      <c r="I250" s="8" t="s">
        <v>11</v>
      </c>
      <c r="J250" s="5"/>
    </row>
    <row r="251" spans="1:10">
      <c r="A251" s="8">
        <v>1</v>
      </c>
      <c r="B251" s="8" t="s">
        <v>9</v>
      </c>
      <c r="C251" s="5" t="s">
        <v>167</v>
      </c>
      <c r="D251" s="6">
        <v>1</v>
      </c>
      <c r="E251" s="6">
        <v>5.47</v>
      </c>
      <c r="F251" s="20">
        <f t="shared" si="3"/>
        <v>4.2328656716417941</v>
      </c>
      <c r="G251" s="20">
        <f>E251-F251</f>
        <v>1.2371343283582057</v>
      </c>
      <c r="H251" s="6">
        <v>582</v>
      </c>
      <c r="I251" s="8" t="s">
        <v>11</v>
      </c>
      <c r="J251" s="5"/>
    </row>
    <row r="252" spans="1:10" s="11" customFormat="1">
      <c r="A252" s="8">
        <v>1</v>
      </c>
      <c r="B252" s="8" t="s">
        <v>9</v>
      </c>
      <c r="C252" s="5" t="s">
        <v>168</v>
      </c>
      <c r="D252" s="6">
        <v>1</v>
      </c>
      <c r="E252" s="8">
        <v>2.04</v>
      </c>
      <c r="F252" s="20">
        <f t="shared" si="3"/>
        <v>4.2328656716417941</v>
      </c>
      <c r="G252" s="20">
        <f>E252-F252</f>
        <v>-2.192865671641794</v>
      </c>
      <c r="H252" s="8">
        <v>1441</v>
      </c>
      <c r="I252" s="8" t="s">
        <v>11</v>
      </c>
      <c r="J252" s="5"/>
    </row>
    <row r="253" spans="1:10">
      <c r="A253" s="8">
        <v>1</v>
      </c>
      <c r="B253" s="8" t="s">
        <v>9</v>
      </c>
      <c r="C253" s="5" t="s">
        <v>168</v>
      </c>
      <c r="D253" s="6">
        <v>1</v>
      </c>
      <c r="E253" s="8">
        <v>8.52</v>
      </c>
      <c r="F253" s="20">
        <f t="shared" si="3"/>
        <v>4.2328656716417941</v>
      </c>
      <c r="G253" s="20">
        <f>E253-F253</f>
        <v>4.2871343283582055</v>
      </c>
      <c r="H253" s="8">
        <v>136</v>
      </c>
      <c r="I253" s="8" t="s">
        <v>11</v>
      </c>
      <c r="J253" s="5"/>
    </row>
    <row r="254" spans="1:10" s="11" customFormat="1">
      <c r="A254" s="8">
        <v>1</v>
      </c>
      <c r="B254" s="8" t="s">
        <v>9</v>
      </c>
      <c r="C254" s="5" t="s">
        <v>169</v>
      </c>
      <c r="D254" s="6">
        <v>1</v>
      </c>
      <c r="E254" s="8">
        <v>1.55</v>
      </c>
      <c r="F254" s="20">
        <f t="shared" si="3"/>
        <v>4.2328656716417941</v>
      </c>
      <c r="G254" s="20">
        <f>E254-F254</f>
        <v>-2.6828656716417942</v>
      </c>
      <c r="H254" s="8">
        <v>1691</v>
      </c>
      <c r="I254" s="8" t="s">
        <v>11</v>
      </c>
      <c r="J254" s="5"/>
    </row>
    <row r="255" spans="1:10" s="11" customFormat="1">
      <c r="A255" s="8">
        <v>1</v>
      </c>
      <c r="B255" s="8" t="s">
        <v>9</v>
      </c>
      <c r="C255" s="5" t="s">
        <v>169</v>
      </c>
      <c r="D255" s="6">
        <v>1</v>
      </c>
      <c r="E255" s="6">
        <v>1.81</v>
      </c>
      <c r="F255" s="20">
        <f t="shared" si="3"/>
        <v>4.2328656716417941</v>
      </c>
      <c r="G255" s="20">
        <f>E255-F255</f>
        <v>-2.422865671641794</v>
      </c>
      <c r="H255" s="6">
        <v>703</v>
      </c>
      <c r="I255" s="8" t="s">
        <v>11</v>
      </c>
      <c r="J255" s="5"/>
    </row>
    <row r="256" spans="1:10">
      <c r="A256" s="8">
        <v>1</v>
      </c>
      <c r="B256" s="8" t="s">
        <v>9</v>
      </c>
      <c r="C256" s="5" t="s">
        <v>170</v>
      </c>
      <c r="D256" s="6">
        <v>1</v>
      </c>
      <c r="E256" s="6">
        <v>0.92</v>
      </c>
      <c r="F256" s="20">
        <f t="shared" si="3"/>
        <v>4.2328656716417941</v>
      </c>
      <c r="G256" s="20">
        <f>E256-F256</f>
        <v>-3.3128656716417941</v>
      </c>
      <c r="H256" s="6">
        <v>148</v>
      </c>
      <c r="I256" s="8" t="s">
        <v>11</v>
      </c>
      <c r="J256" s="5"/>
    </row>
    <row r="257" spans="1:10" s="11" customFormat="1">
      <c r="A257" s="8">
        <v>1</v>
      </c>
      <c r="B257" s="8" t="s">
        <v>9</v>
      </c>
      <c r="C257" s="5" t="s">
        <v>171</v>
      </c>
      <c r="D257" s="6">
        <v>1</v>
      </c>
      <c r="E257" s="6">
        <v>1.49</v>
      </c>
      <c r="F257" s="20">
        <f t="shared" si="3"/>
        <v>4.2328656716417941</v>
      </c>
      <c r="G257" s="20">
        <f>E257-F257</f>
        <v>-2.7428656716417938</v>
      </c>
      <c r="H257" s="6">
        <v>900</v>
      </c>
      <c r="I257" s="8" t="s">
        <v>11</v>
      </c>
      <c r="J257" s="5"/>
    </row>
    <row r="258" spans="1:10">
      <c r="A258" s="8">
        <v>1</v>
      </c>
      <c r="B258" s="8" t="s">
        <v>9</v>
      </c>
      <c r="C258" s="5" t="s">
        <v>171</v>
      </c>
      <c r="D258" s="6">
        <v>1</v>
      </c>
      <c r="E258" s="6">
        <v>2.04</v>
      </c>
      <c r="F258" s="20">
        <f t="shared" ref="F258:F321" si="4">AVERAGE(E$2:E$336)</f>
        <v>4.2328656716417941</v>
      </c>
      <c r="G258" s="20">
        <f>E258-F258</f>
        <v>-2.192865671641794</v>
      </c>
      <c r="H258" s="6">
        <v>228</v>
      </c>
      <c r="I258" s="8" t="s">
        <v>11</v>
      </c>
      <c r="J258" s="5"/>
    </row>
    <row r="259" spans="1:10" s="11" customFormat="1">
      <c r="A259" s="8">
        <v>1</v>
      </c>
      <c r="B259" s="8" t="s">
        <v>9</v>
      </c>
      <c r="C259" s="5" t="s">
        <v>172</v>
      </c>
      <c r="D259" s="6">
        <v>1</v>
      </c>
      <c r="E259" s="8">
        <v>2.0099999999999998</v>
      </c>
      <c r="F259" s="20">
        <f t="shared" si="4"/>
        <v>4.2328656716417941</v>
      </c>
      <c r="G259" s="20">
        <f>E259-F259</f>
        <v>-2.2228656716417943</v>
      </c>
      <c r="H259" s="8">
        <v>2570</v>
      </c>
      <c r="I259" s="8" t="s">
        <v>11</v>
      </c>
      <c r="J259" s="5"/>
    </row>
    <row r="260" spans="1:10">
      <c r="A260" s="8">
        <v>1</v>
      </c>
      <c r="B260" s="8" t="s">
        <v>9</v>
      </c>
      <c r="C260" s="5" t="s">
        <v>173</v>
      </c>
      <c r="D260" s="6">
        <v>1</v>
      </c>
      <c r="E260" s="8">
        <v>11.99</v>
      </c>
      <c r="F260" s="20">
        <f t="shared" si="4"/>
        <v>4.2328656716417941</v>
      </c>
      <c r="G260" s="20">
        <f>E260-F260</f>
        <v>7.7571343283582062</v>
      </c>
      <c r="H260" s="8">
        <v>24</v>
      </c>
      <c r="I260" s="8" t="s">
        <v>11</v>
      </c>
      <c r="J260" s="5"/>
    </row>
    <row r="261" spans="1:10" s="11" customFormat="1">
      <c r="A261" s="8">
        <v>1</v>
      </c>
      <c r="B261" s="8" t="s">
        <v>9</v>
      </c>
      <c r="C261" s="5" t="s">
        <v>173</v>
      </c>
      <c r="D261" s="6">
        <v>1</v>
      </c>
      <c r="E261" s="8">
        <v>7.16</v>
      </c>
      <c r="F261" s="20">
        <f t="shared" si="4"/>
        <v>4.2328656716417941</v>
      </c>
      <c r="G261" s="20">
        <f>E261-F261</f>
        <v>2.9271343283582061</v>
      </c>
      <c r="H261" s="8">
        <v>23</v>
      </c>
      <c r="I261" s="8" t="s">
        <v>11</v>
      </c>
      <c r="J261" s="5"/>
    </row>
    <row r="262" spans="1:10">
      <c r="A262" s="8">
        <v>1</v>
      </c>
      <c r="B262" s="8" t="s">
        <v>9</v>
      </c>
      <c r="C262" s="5" t="s">
        <v>174</v>
      </c>
      <c r="D262" s="6">
        <v>1</v>
      </c>
      <c r="E262" s="6">
        <v>2.1</v>
      </c>
      <c r="F262" s="20">
        <f t="shared" si="4"/>
        <v>4.2328656716417941</v>
      </c>
      <c r="G262" s="20">
        <f>E262-F262</f>
        <v>-2.132865671641794</v>
      </c>
      <c r="H262" s="6">
        <v>44</v>
      </c>
      <c r="I262" s="8" t="s">
        <v>11</v>
      </c>
      <c r="J262" s="5"/>
    </row>
    <row r="263" spans="1:10" s="11" customFormat="1">
      <c r="A263" s="8">
        <v>1</v>
      </c>
      <c r="B263" s="8" t="s">
        <v>9</v>
      </c>
      <c r="C263" s="5" t="s">
        <v>175</v>
      </c>
      <c r="D263" s="6">
        <v>1</v>
      </c>
      <c r="E263" s="6">
        <v>14.53</v>
      </c>
      <c r="F263" s="20">
        <f t="shared" si="4"/>
        <v>4.2328656716417941</v>
      </c>
      <c r="G263" s="20">
        <f>E263-F263</f>
        <v>10.297134328358204</v>
      </c>
      <c r="H263" s="6">
        <v>204</v>
      </c>
      <c r="I263" s="8" t="s">
        <v>11</v>
      </c>
      <c r="J263" s="5"/>
    </row>
    <row r="264" spans="1:10">
      <c r="A264" s="8">
        <v>1</v>
      </c>
      <c r="B264" s="8" t="s">
        <v>9</v>
      </c>
      <c r="C264" s="5" t="s">
        <v>176</v>
      </c>
      <c r="D264" s="6">
        <v>1</v>
      </c>
      <c r="E264" s="6">
        <v>5.92</v>
      </c>
      <c r="F264" s="20">
        <f t="shared" si="4"/>
        <v>4.2328656716417941</v>
      </c>
      <c r="G264" s="20">
        <f>E264-F264</f>
        <v>1.6871343283582059</v>
      </c>
      <c r="H264" s="6">
        <v>993</v>
      </c>
      <c r="I264" s="8" t="s">
        <v>11</v>
      </c>
      <c r="J264" s="5"/>
    </row>
    <row r="265" spans="1:10" s="11" customFormat="1">
      <c r="A265" s="8">
        <v>1</v>
      </c>
      <c r="B265" s="8" t="s">
        <v>9</v>
      </c>
      <c r="C265" s="5" t="s">
        <v>176</v>
      </c>
      <c r="D265" s="6">
        <v>1</v>
      </c>
      <c r="E265" s="8">
        <v>3.44</v>
      </c>
      <c r="F265" s="20">
        <f t="shared" si="4"/>
        <v>4.2328656716417941</v>
      </c>
      <c r="G265" s="20">
        <f>E265-F265</f>
        <v>-0.79286567164179411</v>
      </c>
      <c r="H265" s="8">
        <v>247</v>
      </c>
      <c r="I265" s="8" t="s">
        <v>11</v>
      </c>
      <c r="J265" s="5"/>
    </row>
    <row r="266" spans="1:10">
      <c r="A266" s="8">
        <v>1</v>
      </c>
      <c r="B266" s="8" t="s">
        <v>9</v>
      </c>
      <c r="C266" s="5" t="s">
        <v>177</v>
      </c>
      <c r="D266" s="6">
        <v>1</v>
      </c>
      <c r="E266" s="8">
        <v>4.07</v>
      </c>
      <c r="F266" s="20">
        <f t="shared" si="4"/>
        <v>4.2328656716417941</v>
      </c>
      <c r="G266" s="20">
        <f>E266-F266</f>
        <v>-0.16286567164179377</v>
      </c>
      <c r="H266" s="8">
        <v>407</v>
      </c>
      <c r="I266" s="8" t="s">
        <v>11</v>
      </c>
      <c r="J266" s="5"/>
    </row>
    <row r="267" spans="1:10" s="11" customFormat="1">
      <c r="A267" s="8">
        <v>1</v>
      </c>
      <c r="B267" s="8" t="s">
        <v>9</v>
      </c>
      <c r="C267" s="5" t="s">
        <v>177</v>
      </c>
      <c r="D267" s="6">
        <v>1</v>
      </c>
      <c r="E267" s="8">
        <v>2.61</v>
      </c>
      <c r="F267" s="20">
        <f t="shared" si="4"/>
        <v>4.2328656716417941</v>
      </c>
      <c r="G267" s="20">
        <f>E267-F267</f>
        <v>-1.6228656716417942</v>
      </c>
      <c r="H267" s="8">
        <v>24</v>
      </c>
      <c r="I267" s="8" t="s">
        <v>11</v>
      </c>
      <c r="J267" s="5"/>
    </row>
    <row r="268" spans="1:10" s="11" customFormat="1">
      <c r="A268" s="8">
        <v>1</v>
      </c>
      <c r="B268" s="8" t="s">
        <v>9</v>
      </c>
      <c r="C268" s="5" t="s">
        <v>178</v>
      </c>
      <c r="D268" s="6">
        <v>1</v>
      </c>
      <c r="E268" s="6">
        <v>1.1599999999999999</v>
      </c>
      <c r="F268" s="20">
        <f t="shared" si="4"/>
        <v>4.2328656716417941</v>
      </c>
      <c r="G268" s="20">
        <f>E268-F268</f>
        <v>-3.0728656716417939</v>
      </c>
      <c r="H268" s="6">
        <v>516</v>
      </c>
      <c r="I268" s="8" t="s">
        <v>11</v>
      </c>
      <c r="J268" s="5"/>
    </row>
    <row r="269" spans="1:10">
      <c r="A269" s="8">
        <v>1</v>
      </c>
      <c r="B269" s="8" t="s">
        <v>9</v>
      </c>
      <c r="C269" s="5" t="s">
        <v>178</v>
      </c>
      <c r="D269" s="6">
        <v>1</v>
      </c>
      <c r="E269" s="6">
        <v>0.33</v>
      </c>
      <c r="F269" s="20">
        <f t="shared" si="4"/>
        <v>4.2328656716417941</v>
      </c>
      <c r="G269" s="20">
        <f>E269-F269</f>
        <v>-3.902865671641794</v>
      </c>
      <c r="H269" s="6">
        <v>85</v>
      </c>
      <c r="I269" s="8" t="s">
        <v>11</v>
      </c>
      <c r="J269" s="5"/>
    </row>
    <row r="270" spans="1:10" s="11" customFormat="1">
      <c r="A270" s="8">
        <v>1</v>
      </c>
      <c r="B270" s="8" t="s">
        <v>9</v>
      </c>
      <c r="C270" s="5" t="s">
        <v>179</v>
      </c>
      <c r="D270" s="6">
        <v>1</v>
      </c>
      <c r="E270" s="6">
        <v>6.39</v>
      </c>
      <c r="F270" s="20">
        <f t="shared" si="4"/>
        <v>4.2328656716417941</v>
      </c>
      <c r="G270" s="20">
        <f>E270-F270</f>
        <v>2.1571343283582056</v>
      </c>
      <c r="H270" s="6">
        <v>438</v>
      </c>
      <c r="I270" s="8" t="s">
        <v>11</v>
      </c>
      <c r="J270" s="5"/>
    </row>
    <row r="271" spans="1:10">
      <c r="A271" s="8">
        <v>1</v>
      </c>
      <c r="B271" s="8" t="s">
        <v>9</v>
      </c>
      <c r="C271" s="5" t="s">
        <v>179</v>
      </c>
      <c r="D271" s="6">
        <v>1</v>
      </c>
      <c r="E271" s="6">
        <v>4.6900000000000004</v>
      </c>
      <c r="F271" s="20">
        <f t="shared" si="4"/>
        <v>4.2328656716417941</v>
      </c>
      <c r="G271" s="20">
        <f>E271-F271</f>
        <v>0.45713432835820633</v>
      </c>
      <c r="H271" s="6">
        <v>374</v>
      </c>
      <c r="I271" s="8" t="s">
        <v>11</v>
      </c>
      <c r="J271" s="5"/>
    </row>
    <row r="272" spans="1:10" s="11" customFormat="1">
      <c r="A272" s="8">
        <v>1</v>
      </c>
      <c r="B272" s="8" t="s">
        <v>9</v>
      </c>
      <c r="C272" s="5" t="s">
        <v>180</v>
      </c>
      <c r="D272" s="6">
        <v>1</v>
      </c>
      <c r="E272" s="8">
        <v>23.25</v>
      </c>
      <c r="F272" s="20">
        <f t="shared" si="4"/>
        <v>4.2328656716417941</v>
      </c>
      <c r="G272" s="20">
        <f>E272-F272</f>
        <v>19.017134328358207</v>
      </c>
      <c r="H272" s="8">
        <v>85</v>
      </c>
      <c r="I272" s="8" t="s">
        <v>11</v>
      </c>
      <c r="J272" s="5"/>
    </row>
    <row r="273" spans="1:10">
      <c r="A273" s="8">
        <v>1</v>
      </c>
      <c r="B273" s="8" t="s">
        <v>9</v>
      </c>
      <c r="C273" s="5" t="s">
        <v>180</v>
      </c>
      <c r="D273" s="6">
        <v>1</v>
      </c>
      <c r="E273" s="8">
        <v>21.9</v>
      </c>
      <c r="F273" s="20">
        <f t="shared" si="4"/>
        <v>4.2328656716417941</v>
      </c>
      <c r="G273" s="20">
        <f>E273-F273</f>
        <v>17.667134328358205</v>
      </c>
      <c r="H273" s="8">
        <v>40</v>
      </c>
      <c r="I273" s="8" t="s">
        <v>11</v>
      </c>
      <c r="J273" s="5"/>
    </row>
    <row r="274" spans="1:10" s="11" customFormat="1">
      <c r="A274" s="8">
        <v>1</v>
      </c>
      <c r="B274" s="8" t="s">
        <v>9</v>
      </c>
      <c r="C274" s="5" t="s">
        <v>181</v>
      </c>
      <c r="D274" s="6">
        <v>1</v>
      </c>
      <c r="E274" s="8">
        <v>2.15</v>
      </c>
      <c r="F274" s="20">
        <f t="shared" si="4"/>
        <v>4.2328656716417941</v>
      </c>
      <c r="G274" s="20">
        <f>E274-F274</f>
        <v>-2.0828656716417941</v>
      </c>
      <c r="H274" s="8">
        <v>3255</v>
      </c>
      <c r="I274" s="8" t="s">
        <v>11</v>
      </c>
      <c r="J274" s="5"/>
    </row>
    <row r="275" spans="1:10" s="11" customFormat="1">
      <c r="A275" s="8">
        <v>1</v>
      </c>
      <c r="B275" s="8" t="s">
        <v>9</v>
      </c>
      <c r="C275" s="5" t="s">
        <v>181</v>
      </c>
      <c r="D275" s="6">
        <v>1</v>
      </c>
      <c r="E275" s="6">
        <v>6.79</v>
      </c>
      <c r="F275" s="20">
        <f t="shared" si="4"/>
        <v>4.2328656716417941</v>
      </c>
      <c r="G275" s="20">
        <f>E275-F275</f>
        <v>2.557134328358206</v>
      </c>
      <c r="H275" s="6">
        <v>47</v>
      </c>
      <c r="I275" s="8" t="s">
        <v>11</v>
      </c>
      <c r="J275" s="5"/>
    </row>
    <row r="276" spans="1:10">
      <c r="A276" s="8">
        <v>1</v>
      </c>
      <c r="B276" s="8" t="s">
        <v>9</v>
      </c>
      <c r="C276" s="5" t="s">
        <v>182</v>
      </c>
      <c r="D276" s="6">
        <v>1</v>
      </c>
      <c r="E276" s="6">
        <v>10.09</v>
      </c>
      <c r="F276" s="20">
        <f t="shared" si="4"/>
        <v>4.2328656716417941</v>
      </c>
      <c r="G276" s="20">
        <f>E276-F276</f>
        <v>5.8571343283582058</v>
      </c>
      <c r="H276" s="6">
        <v>39</v>
      </c>
      <c r="I276" s="8" t="s">
        <v>11</v>
      </c>
      <c r="J276" s="5"/>
    </row>
    <row r="277" spans="1:10" s="11" customFormat="1">
      <c r="A277" s="8">
        <v>1</v>
      </c>
      <c r="B277" s="8" t="s">
        <v>9</v>
      </c>
      <c r="C277" s="5" t="s">
        <v>182</v>
      </c>
      <c r="D277" s="6">
        <v>1</v>
      </c>
      <c r="E277" s="6">
        <v>4.3600000000000003</v>
      </c>
      <c r="F277" s="20">
        <f t="shared" si="4"/>
        <v>4.2328656716417941</v>
      </c>
      <c r="G277" s="20">
        <f>E277-F277</f>
        <v>0.12713432835820626</v>
      </c>
      <c r="H277" s="6">
        <v>24</v>
      </c>
      <c r="I277" s="8" t="s">
        <v>11</v>
      </c>
      <c r="J277" s="5"/>
    </row>
    <row r="278" spans="1:10">
      <c r="A278" s="8">
        <v>1</v>
      </c>
      <c r="B278" s="8" t="s">
        <v>9</v>
      </c>
      <c r="C278" s="5" t="s">
        <v>183</v>
      </c>
      <c r="D278" s="6">
        <v>1</v>
      </c>
      <c r="E278" s="6">
        <v>9.49</v>
      </c>
      <c r="F278" s="20">
        <f t="shared" si="4"/>
        <v>4.2328656716417941</v>
      </c>
      <c r="G278" s="20">
        <f>E278-F278</f>
        <v>5.2571343283582062</v>
      </c>
      <c r="H278" s="6">
        <v>137</v>
      </c>
      <c r="I278" s="8" t="s">
        <v>11</v>
      </c>
      <c r="J278" s="5"/>
    </row>
    <row r="279" spans="1:10" s="11" customFormat="1">
      <c r="A279" s="8">
        <v>1</v>
      </c>
      <c r="B279" s="8" t="s">
        <v>9</v>
      </c>
      <c r="C279" s="5" t="s">
        <v>183</v>
      </c>
      <c r="D279" s="6">
        <v>1</v>
      </c>
      <c r="E279" s="8">
        <v>2.29</v>
      </c>
      <c r="F279" s="20">
        <f t="shared" si="4"/>
        <v>4.2328656716417941</v>
      </c>
      <c r="G279" s="20">
        <f>E279-F279</f>
        <v>-1.942865671641794</v>
      </c>
      <c r="H279" s="8">
        <v>55</v>
      </c>
      <c r="I279" s="8" t="s">
        <v>11</v>
      </c>
      <c r="J279" s="5"/>
    </row>
    <row r="280" spans="1:10">
      <c r="A280" s="8">
        <v>1</v>
      </c>
      <c r="B280" s="8" t="s">
        <v>9</v>
      </c>
      <c r="C280" s="5" t="s">
        <v>184</v>
      </c>
      <c r="D280" s="6">
        <v>1</v>
      </c>
      <c r="E280" s="8">
        <v>5.45</v>
      </c>
      <c r="F280" s="20">
        <f t="shared" si="4"/>
        <v>4.2328656716417941</v>
      </c>
      <c r="G280" s="20">
        <f>E280-F280</f>
        <v>1.2171343283582061</v>
      </c>
      <c r="H280" s="8">
        <v>43</v>
      </c>
      <c r="I280" s="8" t="s">
        <v>11</v>
      </c>
      <c r="J280" s="5"/>
    </row>
    <row r="281" spans="1:10" s="11" customFormat="1">
      <c r="A281" s="8">
        <v>1</v>
      </c>
      <c r="B281" s="8" t="s">
        <v>9</v>
      </c>
      <c r="C281" s="5" t="s">
        <v>184</v>
      </c>
      <c r="D281" s="6">
        <v>1</v>
      </c>
      <c r="E281" s="8">
        <v>0</v>
      </c>
      <c r="F281" s="20">
        <f t="shared" si="4"/>
        <v>4.2328656716417941</v>
      </c>
      <c r="G281" s="20">
        <f>E281-F281</f>
        <v>-4.2328656716417941</v>
      </c>
      <c r="H281" s="8">
        <v>25</v>
      </c>
      <c r="I281" s="8" t="s">
        <v>11</v>
      </c>
      <c r="J281" s="5"/>
    </row>
    <row r="282" spans="1:10" s="11" customFormat="1">
      <c r="A282" s="8">
        <v>1</v>
      </c>
      <c r="B282" s="8" t="s">
        <v>9</v>
      </c>
      <c r="C282" s="5" t="s">
        <v>185</v>
      </c>
      <c r="D282" s="6">
        <v>1</v>
      </c>
      <c r="E282" s="6">
        <v>2.2599999999999998</v>
      </c>
      <c r="F282" s="20">
        <f t="shared" si="4"/>
        <v>4.2328656716417941</v>
      </c>
      <c r="G282" s="20">
        <f>E282-F282</f>
        <v>-1.9728656716417943</v>
      </c>
      <c r="H282" s="6">
        <v>712</v>
      </c>
      <c r="I282" s="8" t="s">
        <v>11</v>
      </c>
      <c r="J282" s="5"/>
    </row>
    <row r="283" spans="1:10">
      <c r="A283" s="8">
        <v>1</v>
      </c>
      <c r="B283" s="8" t="s">
        <v>9</v>
      </c>
      <c r="C283" s="5" t="s">
        <v>186</v>
      </c>
      <c r="D283" s="6">
        <v>1</v>
      </c>
      <c r="E283" s="6">
        <v>0.26</v>
      </c>
      <c r="F283" s="20">
        <f t="shared" si="4"/>
        <v>4.2328656716417941</v>
      </c>
      <c r="G283" s="20">
        <f>E283-F283</f>
        <v>-3.9728656716417943</v>
      </c>
      <c r="H283" s="6">
        <v>2057</v>
      </c>
      <c r="I283" s="8" t="s">
        <v>11</v>
      </c>
      <c r="J283" s="5"/>
    </row>
    <row r="284" spans="1:10" s="11" customFormat="1">
      <c r="A284" s="8">
        <v>1</v>
      </c>
      <c r="B284" s="8" t="s">
        <v>9</v>
      </c>
      <c r="C284" s="5" t="s">
        <v>186</v>
      </c>
      <c r="D284" s="6">
        <v>1</v>
      </c>
      <c r="E284" s="6">
        <v>1.24</v>
      </c>
      <c r="F284" s="20">
        <f t="shared" si="4"/>
        <v>4.2328656716417941</v>
      </c>
      <c r="G284" s="20">
        <f>E284-F284</f>
        <v>-2.9928656716417938</v>
      </c>
      <c r="H284" s="6">
        <v>198</v>
      </c>
      <c r="I284" s="8" t="s">
        <v>11</v>
      </c>
      <c r="J284" s="5"/>
    </row>
    <row r="285" spans="1:10">
      <c r="A285" s="8">
        <v>1</v>
      </c>
      <c r="B285" s="8" t="s">
        <v>9</v>
      </c>
      <c r="C285" s="5" t="s">
        <v>187</v>
      </c>
      <c r="D285" s="6">
        <v>1</v>
      </c>
      <c r="E285" s="6">
        <v>0.32</v>
      </c>
      <c r="F285" s="20">
        <f t="shared" si="4"/>
        <v>4.2328656716417941</v>
      </c>
      <c r="G285" s="20">
        <f>E285-F285</f>
        <v>-3.9128656716417942</v>
      </c>
      <c r="H285" s="6">
        <v>2597</v>
      </c>
      <c r="I285" s="8" t="s">
        <v>11</v>
      </c>
      <c r="J285" s="5"/>
    </row>
    <row r="286" spans="1:10" s="11" customFormat="1">
      <c r="A286" s="8">
        <v>1</v>
      </c>
      <c r="B286" s="8" t="s">
        <v>9</v>
      </c>
      <c r="C286" s="5" t="s">
        <v>187</v>
      </c>
      <c r="D286" s="6">
        <v>1</v>
      </c>
      <c r="E286" s="8">
        <v>0.31</v>
      </c>
      <c r="F286" s="20">
        <f t="shared" si="4"/>
        <v>4.2328656716417941</v>
      </c>
      <c r="G286" s="20">
        <f>E286-F286</f>
        <v>-3.922865671641794</v>
      </c>
      <c r="H286" s="8">
        <v>104</v>
      </c>
      <c r="I286" s="8" t="s">
        <v>11</v>
      </c>
      <c r="J286" s="5"/>
    </row>
    <row r="287" spans="1:10">
      <c r="A287" s="8">
        <v>1</v>
      </c>
      <c r="B287" s="8" t="s">
        <v>9</v>
      </c>
      <c r="C287" s="5" t="s">
        <v>188</v>
      </c>
      <c r="D287" s="6">
        <v>1</v>
      </c>
      <c r="E287" s="8">
        <v>2.3199999999999998</v>
      </c>
      <c r="F287" s="20">
        <f t="shared" si="4"/>
        <v>4.2328656716417941</v>
      </c>
      <c r="G287" s="20">
        <f>E287-F287</f>
        <v>-1.9128656716417942</v>
      </c>
      <c r="H287" s="8">
        <v>142</v>
      </c>
      <c r="I287" s="8" t="s">
        <v>11</v>
      </c>
      <c r="J287" s="5"/>
    </row>
    <row r="288" spans="1:10" s="11" customFormat="1">
      <c r="A288" s="8">
        <v>1</v>
      </c>
      <c r="B288" s="8" t="s">
        <v>9</v>
      </c>
      <c r="C288" s="5" t="s">
        <v>188</v>
      </c>
      <c r="D288" s="6">
        <v>1</v>
      </c>
      <c r="E288" s="8">
        <v>10.39</v>
      </c>
      <c r="F288" s="20">
        <f t="shared" si="4"/>
        <v>4.2328656716417941</v>
      </c>
      <c r="G288" s="20">
        <f>E288-F288</f>
        <v>6.1571343283582065</v>
      </c>
      <c r="H288" s="8">
        <v>46</v>
      </c>
      <c r="I288" s="8" t="s">
        <v>11</v>
      </c>
      <c r="J288" s="5"/>
    </row>
    <row r="289" spans="1:10" s="11" customFormat="1">
      <c r="A289" s="8">
        <v>1</v>
      </c>
      <c r="B289" s="8" t="s">
        <v>9</v>
      </c>
      <c r="C289" s="5" t="s">
        <v>189</v>
      </c>
      <c r="D289" s="6">
        <v>1</v>
      </c>
      <c r="E289" s="6">
        <v>2.13</v>
      </c>
      <c r="F289" s="20">
        <f t="shared" si="4"/>
        <v>4.2328656716417941</v>
      </c>
      <c r="G289" s="20">
        <f>E289-F289</f>
        <v>-2.1028656716417942</v>
      </c>
      <c r="H289" s="6">
        <v>46</v>
      </c>
      <c r="I289" s="8" t="s">
        <v>11</v>
      </c>
      <c r="J289" s="5"/>
    </row>
    <row r="290" spans="1:10">
      <c r="A290" s="8">
        <v>1</v>
      </c>
      <c r="B290" s="8" t="s">
        <v>9</v>
      </c>
      <c r="C290" s="5" t="s">
        <v>189</v>
      </c>
      <c r="D290" s="6">
        <v>1</v>
      </c>
      <c r="E290" s="6">
        <v>2.08</v>
      </c>
      <c r="F290" s="20">
        <f t="shared" si="4"/>
        <v>4.2328656716417941</v>
      </c>
      <c r="G290" s="20">
        <f>E290-F290</f>
        <v>-2.152865671641794</v>
      </c>
      <c r="H290" s="6">
        <v>30</v>
      </c>
      <c r="I290" s="8" t="s">
        <v>11</v>
      </c>
      <c r="J290" s="5"/>
    </row>
    <row r="291" spans="1:10" s="11" customFormat="1">
      <c r="A291" s="8">
        <v>1</v>
      </c>
      <c r="B291" s="8" t="s">
        <v>9</v>
      </c>
      <c r="C291" s="5" t="s">
        <v>190</v>
      </c>
      <c r="D291" s="6">
        <v>1</v>
      </c>
      <c r="E291" s="6">
        <v>3.55</v>
      </c>
      <c r="F291" s="20">
        <f t="shared" si="4"/>
        <v>4.2328656716417941</v>
      </c>
      <c r="G291" s="20">
        <f>E291-F291</f>
        <v>-0.68286567164179424</v>
      </c>
      <c r="H291" s="6">
        <v>235</v>
      </c>
      <c r="I291" s="8" t="s">
        <v>11</v>
      </c>
      <c r="J291" s="5"/>
    </row>
    <row r="292" spans="1:10">
      <c r="A292" s="8">
        <v>1</v>
      </c>
      <c r="B292" s="8" t="s">
        <v>9</v>
      </c>
      <c r="C292" s="5" t="s">
        <v>190</v>
      </c>
      <c r="D292" s="6">
        <v>1</v>
      </c>
      <c r="E292" s="6">
        <v>3.28</v>
      </c>
      <c r="F292" s="20">
        <f t="shared" si="4"/>
        <v>4.2328656716417941</v>
      </c>
      <c r="G292" s="20">
        <f>E292-F292</f>
        <v>-0.95286567164179425</v>
      </c>
      <c r="H292" s="6">
        <v>81</v>
      </c>
      <c r="I292" s="8" t="s">
        <v>11</v>
      </c>
      <c r="J292" s="5"/>
    </row>
    <row r="293" spans="1:10" s="11" customFormat="1">
      <c r="A293" s="8">
        <v>1</v>
      </c>
      <c r="B293" s="8" t="s">
        <v>9</v>
      </c>
      <c r="C293" s="5" t="s">
        <v>191</v>
      </c>
      <c r="D293" s="6">
        <v>1</v>
      </c>
      <c r="E293" s="8">
        <v>1.75</v>
      </c>
      <c r="F293" s="20">
        <f t="shared" si="4"/>
        <v>4.2328656716417941</v>
      </c>
      <c r="G293" s="20">
        <f>E293-F293</f>
        <v>-2.4828656716417941</v>
      </c>
      <c r="H293" s="8">
        <v>994</v>
      </c>
      <c r="I293" s="8" t="s">
        <v>11</v>
      </c>
      <c r="J293" s="5"/>
    </row>
    <row r="294" spans="1:10" s="11" customFormat="1">
      <c r="A294" s="8">
        <v>1</v>
      </c>
      <c r="B294" s="8" t="s">
        <v>9</v>
      </c>
      <c r="C294" s="5" t="s">
        <v>191</v>
      </c>
      <c r="D294" s="6">
        <v>1</v>
      </c>
      <c r="E294" s="8">
        <v>1.1499999999999999</v>
      </c>
      <c r="F294" s="20">
        <f t="shared" si="4"/>
        <v>4.2328656716417941</v>
      </c>
      <c r="G294" s="20">
        <f>E294-F294</f>
        <v>-3.0828656716417941</v>
      </c>
      <c r="H294" s="8">
        <v>293</v>
      </c>
      <c r="I294" s="8" t="s">
        <v>11</v>
      </c>
      <c r="J294" s="5"/>
    </row>
    <row r="295" spans="1:10">
      <c r="A295" s="8">
        <v>1</v>
      </c>
      <c r="B295" s="8" t="s">
        <v>9</v>
      </c>
      <c r="C295" s="5" t="s">
        <v>192</v>
      </c>
      <c r="D295" s="6">
        <v>1</v>
      </c>
      <c r="E295" s="8">
        <v>3.03</v>
      </c>
      <c r="F295" s="20">
        <f t="shared" si="4"/>
        <v>4.2328656716417941</v>
      </c>
      <c r="G295" s="20">
        <f>E295-F295</f>
        <v>-1.2028656716417943</v>
      </c>
      <c r="H295" s="8">
        <v>2837</v>
      </c>
      <c r="I295" s="8" t="s">
        <v>11</v>
      </c>
      <c r="J295" s="5"/>
    </row>
    <row r="296" spans="1:10" s="11" customFormat="1">
      <c r="A296" s="8">
        <v>1</v>
      </c>
      <c r="B296" s="8" t="s">
        <v>9</v>
      </c>
      <c r="C296" s="5" t="s">
        <v>192</v>
      </c>
      <c r="D296" s="6">
        <v>1</v>
      </c>
      <c r="E296" s="6">
        <v>4.55</v>
      </c>
      <c r="F296" s="20">
        <f t="shared" si="4"/>
        <v>4.2328656716417941</v>
      </c>
      <c r="G296" s="20">
        <f>E296-F296</f>
        <v>0.31713432835820576</v>
      </c>
      <c r="H296" s="6">
        <v>86</v>
      </c>
      <c r="I296" s="8" t="s">
        <v>11</v>
      </c>
      <c r="J296" s="5"/>
    </row>
    <row r="297" spans="1:10">
      <c r="A297" s="8">
        <v>1</v>
      </c>
      <c r="B297" s="8" t="s">
        <v>9</v>
      </c>
      <c r="C297" s="5" t="s">
        <v>193</v>
      </c>
      <c r="D297" s="6">
        <v>1</v>
      </c>
      <c r="E297" s="6">
        <v>0.75</v>
      </c>
      <c r="F297" s="20">
        <f t="shared" si="4"/>
        <v>4.2328656716417941</v>
      </c>
      <c r="G297" s="20">
        <f>E297-F297</f>
        <v>-3.4828656716417941</v>
      </c>
      <c r="H297" s="6">
        <v>813</v>
      </c>
      <c r="I297" s="8" t="s">
        <v>11</v>
      </c>
      <c r="J297" s="5"/>
    </row>
    <row r="298" spans="1:10" s="11" customFormat="1">
      <c r="A298" s="8">
        <v>1</v>
      </c>
      <c r="B298" s="8" t="s">
        <v>9</v>
      </c>
      <c r="C298" s="5" t="s">
        <v>194</v>
      </c>
      <c r="D298" s="6">
        <v>1</v>
      </c>
      <c r="E298" s="6">
        <v>0.87</v>
      </c>
      <c r="F298" s="20">
        <f t="shared" si="4"/>
        <v>4.2328656716417941</v>
      </c>
      <c r="G298" s="20">
        <f>E298-F298</f>
        <v>-3.362865671641794</v>
      </c>
      <c r="H298" s="6">
        <v>616</v>
      </c>
      <c r="I298" s="8" t="s">
        <v>11</v>
      </c>
      <c r="J298" s="5"/>
    </row>
    <row r="299" spans="1:10">
      <c r="A299" s="8">
        <v>1</v>
      </c>
      <c r="B299" s="8" t="s">
        <v>9</v>
      </c>
      <c r="C299" s="5" t="s">
        <v>195</v>
      </c>
      <c r="D299" s="6">
        <v>1</v>
      </c>
      <c r="E299" s="6">
        <v>0.96</v>
      </c>
      <c r="F299" s="20">
        <f t="shared" si="4"/>
        <v>4.2328656716417941</v>
      </c>
      <c r="G299" s="20">
        <f>E299-F299</f>
        <v>-3.2728656716417941</v>
      </c>
      <c r="H299" s="6">
        <v>34</v>
      </c>
      <c r="I299" s="8" t="s">
        <v>11</v>
      </c>
      <c r="J299" s="5"/>
    </row>
    <row r="300" spans="1:10" s="11" customFormat="1">
      <c r="A300" s="8">
        <v>1</v>
      </c>
      <c r="B300" s="8" t="s">
        <v>9</v>
      </c>
      <c r="C300" s="5" t="s">
        <v>195</v>
      </c>
      <c r="D300" s="6">
        <v>1</v>
      </c>
      <c r="E300" s="8">
        <v>1.18</v>
      </c>
      <c r="F300" s="20">
        <f t="shared" si="4"/>
        <v>4.2328656716417941</v>
      </c>
      <c r="G300" s="20">
        <f>E300-F300</f>
        <v>-3.0528656716417943</v>
      </c>
      <c r="H300" s="8">
        <v>28</v>
      </c>
      <c r="I300" s="8" t="s">
        <v>11</v>
      </c>
      <c r="J300" s="5"/>
    </row>
    <row r="301" spans="1:10" s="11" customFormat="1">
      <c r="A301" s="8">
        <v>1</v>
      </c>
      <c r="B301" s="8" t="s">
        <v>9</v>
      </c>
      <c r="C301" s="5" t="s">
        <v>196</v>
      </c>
      <c r="D301" s="6">
        <v>1</v>
      </c>
      <c r="E301" s="8">
        <v>0.57999999999999996</v>
      </c>
      <c r="F301" s="20">
        <f t="shared" si="4"/>
        <v>4.2328656716417941</v>
      </c>
      <c r="G301" s="20">
        <f>E301-F301</f>
        <v>-3.652865671641794</v>
      </c>
      <c r="H301" s="8">
        <v>49</v>
      </c>
      <c r="I301" s="8" t="s">
        <v>11</v>
      </c>
      <c r="J301" s="5"/>
    </row>
    <row r="302" spans="1:10">
      <c r="A302" s="8">
        <v>1</v>
      </c>
      <c r="B302" s="8" t="s">
        <v>9</v>
      </c>
      <c r="C302" s="5" t="s">
        <v>196</v>
      </c>
      <c r="D302" s="6">
        <v>1</v>
      </c>
      <c r="E302" s="8">
        <v>1.27</v>
      </c>
      <c r="F302" s="20">
        <f t="shared" si="4"/>
        <v>4.2328656716417941</v>
      </c>
      <c r="G302" s="20">
        <f>E302-F302</f>
        <v>-2.962865671641794</v>
      </c>
      <c r="H302" s="8">
        <v>43</v>
      </c>
      <c r="I302" s="8" t="s">
        <v>11</v>
      </c>
      <c r="J302" s="5"/>
    </row>
    <row r="303" spans="1:10" s="11" customFormat="1">
      <c r="A303" s="8">
        <v>1</v>
      </c>
      <c r="B303" s="8" t="s">
        <v>9</v>
      </c>
      <c r="C303" s="5" t="s">
        <v>197</v>
      </c>
      <c r="D303" s="6">
        <v>1</v>
      </c>
      <c r="E303" s="6">
        <v>0.99</v>
      </c>
      <c r="F303" s="20">
        <f t="shared" si="4"/>
        <v>4.2328656716417941</v>
      </c>
      <c r="G303" s="20">
        <f>E303-F303</f>
        <v>-3.2428656716417938</v>
      </c>
      <c r="H303" s="6">
        <v>2935</v>
      </c>
      <c r="I303" s="8" t="s">
        <v>11</v>
      </c>
      <c r="J303" s="5"/>
    </row>
    <row r="304" spans="1:10">
      <c r="A304" s="8">
        <v>1</v>
      </c>
      <c r="B304" s="8" t="s">
        <v>9</v>
      </c>
      <c r="C304" s="5" t="s">
        <v>197</v>
      </c>
      <c r="D304" s="6">
        <v>1</v>
      </c>
      <c r="E304" s="6">
        <v>1.47</v>
      </c>
      <c r="F304" s="20">
        <f t="shared" si="4"/>
        <v>4.2328656716417941</v>
      </c>
      <c r="G304" s="20">
        <f>E304-F304</f>
        <v>-2.7628656716417943</v>
      </c>
      <c r="H304" s="6">
        <v>318</v>
      </c>
      <c r="I304" s="8" t="s">
        <v>11</v>
      </c>
      <c r="J304" s="5"/>
    </row>
    <row r="305" spans="1:10" s="11" customFormat="1">
      <c r="A305" s="8">
        <v>1</v>
      </c>
      <c r="B305" s="8" t="s">
        <v>9</v>
      </c>
      <c r="C305" s="5" t="s">
        <v>198</v>
      </c>
      <c r="D305" s="6">
        <v>1</v>
      </c>
      <c r="E305" s="6">
        <v>4.5199999999999996</v>
      </c>
      <c r="F305" s="20">
        <f t="shared" si="4"/>
        <v>4.2328656716417941</v>
      </c>
      <c r="G305" s="20">
        <f>E305-F305</f>
        <v>0.28713432835820552</v>
      </c>
      <c r="H305" s="6">
        <v>105</v>
      </c>
      <c r="I305" s="8" t="s">
        <v>11</v>
      </c>
      <c r="J305" s="5"/>
    </row>
    <row r="306" spans="1:10">
      <c r="A306" s="8">
        <v>1</v>
      </c>
      <c r="B306" s="8" t="s">
        <v>9</v>
      </c>
      <c r="C306" s="5" t="s">
        <v>199</v>
      </c>
      <c r="D306" s="6">
        <v>1</v>
      </c>
      <c r="E306" s="6">
        <v>6.71</v>
      </c>
      <c r="F306" s="20">
        <f t="shared" si="4"/>
        <v>4.2328656716417941</v>
      </c>
      <c r="G306" s="20">
        <f>E306-F306</f>
        <v>2.4771343283582059</v>
      </c>
      <c r="H306" s="6">
        <v>62</v>
      </c>
      <c r="I306" s="8" t="s">
        <v>11</v>
      </c>
      <c r="J306" s="5"/>
    </row>
    <row r="307" spans="1:10" s="11" customFormat="1">
      <c r="A307" s="8">
        <v>1</v>
      </c>
      <c r="B307" s="8" t="s">
        <v>9</v>
      </c>
      <c r="C307" s="5" t="s">
        <v>199</v>
      </c>
      <c r="D307" s="6">
        <v>1</v>
      </c>
      <c r="E307" s="8">
        <v>5.41</v>
      </c>
      <c r="F307" s="20">
        <f t="shared" si="4"/>
        <v>4.2328656716417941</v>
      </c>
      <c r="G307" s="20">
        <f>E307-F307</f>
        <v>1.1771343283582061</v>
      </c>
      <c r="H307" s="8">
        <v>50</v>
      </c>
      <c r="I307" s="8" t="s">
        <v>11</v>
      </c>
      <c r="J307" s="5"/>
    </row>
    <row r="308" spans="1:10" s="11" customFormat="1">
      <c r="A308" s="8">
        <v>1</v>
      </c>
      <c r="B308" s="8" t="s">
        <v>9</v>
      </c>
      <c r="C308" s="5" t="s">
        <v>200</v>
      </c>
      <c r="D308" s="6">
        <v>1</v>
      </c>
      <c r="E308" s="8">
        <v>2.68</v>
      </c>
      <c r="F308" s="20">
        <f t="shared" si="4"/>
        <v>4.2328656716417941</v>
      </c>
      <c r="G308" s="20">
        <f>E308-F308</f>
        <v>-1.5528656716417939</v>
      </c>
      <c r="H308" s="8">
        <v>491</v>
      </c>
      <c r="I308" s="8" t="s">
        <v>11</v>
      </c>
      <c r="J308" s="5"/>
    </row>
    <row r="309" spans="1:10">
      <c r="A309" s="8">
        <v>1</v>
      </c>
      <c r="B309" s="8" t="s">
        <v>9</v>
      </c>
      <c r="C309" s="5" t="s">
        <v>200</v>
      </c>
      <c r="D309" s="6">
        <v>1</v>
      </c>
      <c r="E309" s="8">
        <v>2.16</v>
      </c>
      <c r="F309" s="20">
        <f t="shared" si="4"/>
        <v>4.2328656716417941</v>
      </c>
      <c r="G309" s="20">
        <f>E309-F309</f>
        <v>-2.0728656716417939</v>
      </c>
      <c r="H309" s="8">
        <v>76</v>
      </c>
      <c r="I309" s="8" t="s">
        <v>11</v>
      </c>
      <c r="J309" s="5"/>
    </row>
    <row r="310" spans="1:10" s="11" customFormat="1">
      <c r="A310" s="8">
        <v>1</v>
      </c>
      <c r="B310" s="8" t="s">
        <v>9</v>
      </c>
      <c r="C310" s="5" t="s">
        <v>201</v>
      </c>
      <c r="D310" s="6">
        <v>1</v>
      </c>
      <c r="E310" s="6">
        <v>2.4700000000000002</v>
      </c>
      <c r="F310" s="20">
        <f t="shared" si="4"/>
        <v>4.2328656716417941</v>
      </c>
      <c r="G310" s="20">
        <f>E310-F310</f>
        <v>-1.7628656716417939</v>
      </c>
      <c r="H310" s="6">
        <v>10905</v>
      </c>
      <c r="I310" s="8" t="s">
        <v>11</v>
      </c>
      <c r="J310" s="5"/>
    </row>
    <row r="311" spans="1:10">
      <c r="A311" s="8">
        <v>1</v>
      </c>
      <c r="B311" s="8" t="s">
        <v>9</v>
      </c>
      <c r="C311" s="5" t="s">
        <v>201</v>
      </c>
      <c r="D311" s="6">
        <v>1</v>
      </c>
      <c r="E311" s="6">
        <v>3.25</v>
      </c>
      <c r="F311" s="20">
        <f t="shared" si="4"/>
        <v>4.2328656716417941</v>
      </c>
      <c r="G311" s="20">
        <f>E311-F311</f>
        <v>-0.98286567164179406</v>
      </c>
      <c r="H311" s="6">
        <v>2022</v>
      </c>
      <c r="I311" s="8" t="s">
        <v>11</v>
      </c>
      <c r="J311" s="5"/>
    </row>
    <row r="312" spans="1:10" s="11" customFormat="1">
      <c r="A312" s="8">
        <v>1</v>
      </c>
      <c r="B312" s="8" t="s">
        <v>9</v>
      </c>
      <c r="C312" s="5" t="s">
        <v>202</v>
      </c>
      <c r="D312" s="6">
        <v>1</v>
      </c>
      <c r="E312" s="6">
        <v>1.96</v>
      </c>
      <c r="F312" s="20">
        <f t="shared" si="4"/>
        <v>4.2328656716417941</v>
      </c>
      <c r="G312" s="20">
        <f>E312-F312</f>
        <v>-2.2728656716417941</v>
      </c>
      <c r="H312" s="6">
        <v>246</v>
      </c>
      <c r="I312" s="8" t="s">
        <v>11</v>
      </c>
      <c r="J312" s="5"/>
    </row>
    <row r="313" spans="1:10">
      <c r="A313" s="8">
        <v>1</v>
      </c>
      <c r="B313" s="8" t="s">
        <v>9</v>
      </c>
      <c r="C313" s="5" t="s">
        <v>202</v>
      </c>
      <c r="D313" s="6">
        <v>1</v>
      </c>
      <c r="E313" s="6">
        <v>2.11</v>
      </c>
      <c r="F313" s="20">
        <f t="shared" si="4"/>
        <v>4.2328656716417941</v>
      </c>
      <c r="G313" s="20">
        <f>E313-F313</f>
        <v>-2.1228656716417942</v>
      </c>
      <c r="H313" s="6">
        <v>125</v>
      </c>
      <c r="I313" s="8" t="s">
        <v>11</v>
      </c>
      <c r="J313" s="5"/>
    </row>
    <row r="314" spans="1:10" s="11" customFormat="1">
      <c r="A314" s="8">
        <v>1</v>
      </c>
      <c r="B314" s="8" t="s">
        <v>9</v>
      </c>
      <c r="C314" s="5" t="s">
        <v>203</v>
      </c>
      <c r="D314" s="6">
        <v>1</v>
      </c>
      <c r="E314" s="8">
        <v>0.89</v>
      </c>
      <c r="F314" s="20">
        <f t="shared" si="4"/>
        <v>4.2328656716417941</v>
      </c>
      <c r="G314" s="20">
        <f>E314-F314</f>
        <v>-3.3428656716417939</v>
      </c>
      <c r="H314" s="8">
        <v>258</v>
      </c>
      <c r="I314" s="8" t="s">
        <v>11</v>
      </c>
      <c r="J314" s="5"/>
    </row>
    <row r="315" spans="1:10" s="11" customFormat="1">
      <c r="A315" s="8">
        <v>1</v>
      </c>
      <c r="B315" s="8" t="s">
        <v>9</v>
      </c>
      <c r="C315" s="5" t="s">
        <v>203</v>
      </c>
      <c r="D315" s="6">
        <v>1</v>
      </c>
      <c r="E315" s="8">
        <v>4.6399999999999997</v>
      </c>
      <c r="F315" s="20">
        <f t="shared" si="4"/>
        <v>4.2328656716417941</v>
      </c>
      <c r="G315" s="20">
        <f>E315-F315</f>
        <v>0.40713432835820562</v>
      </c>
      <c r="H315" s="8">
        <v>54</v>
      </c>
      <c r="I315" s="8" t="s">
        <v>11</v>
      </c>
      <c r="J315" s="5"/>
    </row>
    <row r="316" spans="1:10">
      <c r="A316" s="8">
        <v>1</v>
      </c>
      <c r="B316" s="8" t="s">
        <v>9</v>
      </c>
      <c r="C316" s="5" t="s">
        <v>204</v>
      </c>
      <c r="D316" s="6">
        <v>1</v>
      </c>
      <c r="E316" s="8">
        <v>10.039999999999999</v>
      </c>
      <c r="F316" s="20">
        <f t="shared" si="4"/>
        <v>4.2328656716417941</v>
      </c>
      <c r="G316" s="20">
        <f>E316-F316</f>
        <v>5.8071343283582051</v>
      </c>
      <c r="H316" s="8">
        <v>84</v>
      </c>
      <c r="I316" s="8" t="s">
        <v>11</v>
      </c>
      <c r="J316" s="5"/>
    </row>
    <row r="317" spans="1:10" s="11" customFormat="1">
      <c r="A317" s="8">
        <v>1</v>
      </c>
      <c r="B317" s="8" t="s">
        <v>9</v>
      </c>
      <c r="C317" s="5" t="s">
        <v>204</v>
      </c>
      <c r="D317" s="6">
        <v>1</v>
      </c>
      <c r="E317" s="8">
        <v>9.19</v>
      </c>
      <c r="F317" s="20">
        <f t="shared" si="4"/>
        <v>4.2328656716417941</v>
      </c>
      <c r="G317" s="20">
        <f>E317-F317</f>
        <v>4.9571343283582054</v>
      </c>
      <c r="H317" s="8">
        <v>69</v>
      </c>
      <c r="I317" s="8" t="s">
        <v>11</v>
      </c>
      <c r="J317" s="5"/>
    </row>
    <row r="318" spans="1:10">
      <c r="A318" s="8">
        <v>1</v>
      </c>
      <c r="B318" s="8" t="s">
        <v>9</v>
      </c>
      <c r="C318" s="5" t="s">
        <v>205</v>
      </c>
      <c r="D318" s="6">
        <v>1</v>
      </c>
      <c r="E318" s="8">
        <v>2.36</v>
      </c>
      <c r="F318" s="20">
        <f t="shared" si="4"/>
        <v>4.2328656716417941</v>
      </c>
      <c r="G318" s="20">
        <f>E318-F318</f>
        <v>-1.8728656716417942</v>
      </c>
      <c r="H318" s="8">
        <v>635</v>
      </c>
      <c r="I318" s="8" t="s">
        <v>11</v>
      </c>
      <c r="J318" s="5"/>
    </row>
    <row r="319" spans="1:10" s="11" customFormat="1">
      <c r="A319" s="8">
        <v>1</v>
      </c>
      <c r="B319" s="8" t="s">
        <v>9</v>
      </c>
      <c r="C319" s="5" t="s">
        <v>205</v>
      </c>
      <c r="D319" s="6">
        <v>1</v>
      </c>
      <c r="E319" s="8">
        <v>2.56</v>
      </c>
      <c r="F319" s="20">
        <f t="shared" si="4"/>
        <v>4.2328656716417941</v>
      </c>
      <c r="G319" s="20">
        <f>E319-F319</f>
        <v>-1.672865671641794</v>
      </c>
      <c r="H319" s="8">
        <v>136</v>
      </c>
      <c r="I319" s="8" t="s">
        <v>11</v>
      </c>
      <c r="J319" s="5"/>
    </row>
    <row r="320" spans="1:10">
      <c r="A320" s="8">
        <v>1</v>
      </c>
      <c r="B320" s="8" t="s">
        <v>9</v>
      </c>
      <c r="C320" s="5" t="s">
        <v>206</v>
      </c>
      <c r="D320" s="6">
        <v>1</v>
      </c>
      <c r="E320" s="8">
        <v>2.74</v>
      </c>
      <c r="F320" s="20">
        <f t="shared" si="4"/>
        <v>4.2328656716417941</v>
      </c>
      <c r="G320" s="20">
        <f>E320-F320</f>
        <v>-1.4928656716417938</v>
      </c>
      <c r="H320" s="8">
        <v>1799</v>
      </c>
      <c r="I320" s="8" t="s">
        <v>11</v>
      </c>
      <c r="J320" s="5"/>
    </row>
    <row r="321" spans="1:10" s="11" customFormat="1">
      <c r="A321" s="8">
        <v>1</v>
      </c>
      <c r="B321" s="8" t="s">
        <v>9</v>
      </c>
      <c r="C321" s="5" t="s">
        <v>206</v>
      </c>
      <c r="D321" s="6">
        <v>1</v>
      </c>
      <c r="E321" s="8">
        <v>3.27</v>
      </c>
      <c r="F321" s="20">
        <f t="shared" si="4"/>
        <v>4.2328656716417941</v>
      </c>
      <c r="G321" s="20">
        <f>E321-F321</f>
        <v>-0.96286567164179404</v>
      </c>
      <c r="H321" s="8">
        <v>607</v>
      </c>
      <c r="I321" s="8" t="s">
        <v>11</v>
      </c>
      <c r="J321" s="5"/>
    </row>
    <row r="322" spans="1:10" s="11" customFormat="1">
      <c r="A322" s="8">
        <v>1</v>
      </c>
      <c r="B322" s="8" t="s">
        <v>9</v>
      </c>
      <c r="C322" s="5" t="s">
        <v>207</v>
      </c>
      <c r="D322" s="6">
        <v>1</v>
      </c>
      <c r="E322" s="8">
        <v>2.39</v>
      </c>
      <c r="F322" s="20">
        <f t="shared" ref="F322:F336" si="5">AVERAGE(E$2:E$336)</f>
        <v>4.2328656716417941</v>
      </c>
      <c r="G322" s="20">
        <f>E322-F322</f>
        <v>-1.8428656716417939</v>
      </c>
      <c r="H322" s="8">
        <v>37</v>
      </c>
      <c r="I322" s="8" t="s">
        <v>11</v>
      </c>
      <c r="J322" s="5"/>
    </row>
    <row r="323" spans="1:10">
      <c r="A323" s="8">
        <v>1</v>
      </c>
      <c r="B323" s="8" t="s">
        <v>9</v>
      </c>
      <c r="C323" s="5" t="s">
        <v>207</v>
      </c>
      <c r="D323" s="6">
        <v>1</v>
      </c>
      <c r="E323" s="6">
        <v>4.4000000000000004</v>
      </c>
      <c r="F323" s="20">
        <f t="shared" si="5"/>
        <v>4.2328656716417941</v>
      </c>
      <c r="G323" s="20">
        <f>E323-F323</f>
        <v>0.1671343283582063</v>
      </c>
      <c r="H323" s="8">
        <v>21</v>
      </c>
      <c r="I323" s="8" t="s">
        <v>11</v>
      </c>
      <c r="J323" s="5"/>
    </row>
    <row r="324" spans="1:10" s="11" customFormat="1">
      <c r="A324" s="8">
        <v>1</v>
      </c>
      <c r="B324" s="8" t="s">
        <v>9</v>
      </c>
      <c r="C324" s="5" t="s">
        <v>208</v>
      </c>
      <c r="D324" s="6">
        <v>1</v>
      </c>
      <c r="E324" s="8">
        <v>4.3499999999999996</v>
      </c>
      <c r="F324" s="20">
        <f t="shared" si="5"/>
        <v>4.2328656716417941</v>
      </c>
      <c r="G324" s="20">
        <f>E324-F324</f>
        <v>0.11713432835820559</v>
      </c>
      <c r="H324" s="8">
        <v>126</v>
      </c>
      <c r="I324" s="8" t="s">
        <v>11</v>
      </c>
      <c r="J324" s="5"/>
    </row>
    <row r="325" spans="1:10">
      <c r="A325" s="8">
        <v>1</v>
      </c>
      <c r="B325" s="8" t="s">
        <v>9</v>
      </c>
      <c r="C325" s="5" t="s">
        <v>208</v>
      </c>
      <c r="D325" s="6">
        <v>1</v>
      </c>
      <c r="E325" s="8">
        <v>3.5</v>
      </c>
      <c r="F325" s="20">
        <f t="shared" si="5"/>
        <v>4.2328656716417941</v>
      </c>
      <c r="G325" s="20">
        <f>E325-F325</f>
        <v>-0.73286567164179406</v>
      </c>
      <c r="H325" s="8">
        <v>174</v>
      </c>
      <c r="I325" s="8" t="s">
        <v>11</v>
      </c>
      <c r="J325" s="5"/>
    </row>
    <row r="326" spans="1:10" s="11" customFormat="1">
      <c r="A326" s="8">
        <v>1</v>
      </c>
      <c r="B326" s="8" t="s">
        <v>9</v>
      </c>
      <c r="C326" s="5" t="s">
        <v>209</v>
      </c>
      <c r="D326" s="6">
        <v>1</v>
      </c>
      <c r="E326" s="8">
        <v>8.7200000000000006</v>
      </c>
      <c r="F326" s="20">
        <f t="shared" si="5"/>
        <v>4.2328656716417941</v>
      </c>
      <c r="G326" s="20">
        <f>E326-F326</f>
        <v>4.4871343283582066</v>
      </c>
      <c r="H326" s="8">
        <v>74</v>
      </c>
      <c r="I326" s="8" t="s">
        <v>11</v>
      </c>
      <c r="J326" s="5"/>
    </row>
    <row r="327" spans="1:10">
      <c r="A327" s="8">
        <v>1</v>
      </c>
      <c r="B327" s="8" t="s">
        <v>9</v>
      </c>
      <c r="C327" s="5" t="s">
        <v>210</v>
      </c>
      <c r="D327" s="6">
        <v>1</v>
      </c>
      <c r="E327" s="8">
        <v>0.6</v>
      </c>
      <c r="F327" s="20">
        <f t="shared" si="5"/>
        <v>4.2328656716417941</v>
      </c>
      <c r="G327" s="20">
        <f>E327-F327</f>
        <v>-3.632865671641794</v>
      </c>
      <c r="H327" s="8">
        <v>738</v>
      </c>
      <c r="I327" s="8" t="s">
        <v>11</v>
      </c>
      <c r="J327" s="5"/>
    </row>
    <row r="328" spans="1:10" s="11" customFormat="1">
      <c r="A328" s="8">
        <v>1</v>
      </c>
      <c r="B328" s="8" t="s">
        <v>9</v>
      </c>
      <c r="C328" s="5" t="s">
        <v>210</v>
      </c>
      <c r="D328" s="6">
        <v>1</v>
      </c>
      <c r="E328" s="8">
        <v>1.44</v>
      </c>
      <c r="F328" s="20">
        <f t="shared" si="5"/>
        <v>4.2328656716417941</v>
      </c>
      <c r="G328" s="20">
        <f>E328-F328</f>
        <v>-2.7928656716417941</v>
      </c>
      <c r="H328" s="8">
        <v>79</v>
      </c>
      <c r="I328" s="8" t="s">
        <v>11</v>
      </c>
      <c r="J328" s="5"/>
    </row>
    <row r="329" spans="1:10" s="11" customFormat="1">
      <c r="A329" s="8">
        <v>1</v>
      </c>
      <c r="B329" s="8" t="s">
        <v>9</v>
      </c>
      <c r="C329" s="5" t="s">
        <v>211</v>
      </c>
      <c r="D329" s="6">
        <v>1</v>
      </c>
      <c r="E329" s="8">
        <v>3.91</v>
      </c>
      <c r="F329" s="20">
        <f t="shared" si="5"/>
        <v>4.2328656716417941</v>
      </c>
      <c r="G329" s="20">
        <f>E329-F329</f>
        <v>-0.32286567164179392</v>
      </c>
      <c r="H329" s="8">
        <v>182</v>
      </c>
      <c r="I329" s="8" t="s">
        <v>11</v>
      </c>
      <c r="J329" s="5"/>
    </row>
    <row r="330" spans="1:10">
      <c r="A330" s="8">
        <v>1</v>
      </c>
      <c r="B330" s="8" t="s">
        <v>9</v>
      </c>
      <c r="C330" s="5" t="s">
        <v>212</v>
      </c>
      <c r="D330" s="6">
        <v>1</v>
      </c>
      <c r="E330" s="8">
        <v>14.86</v>
      </c>
      <c r="F330" s="20">
        <f t="shared" si="5"/>
        <v>4.2328656716417941</v>
      </c>
      <c r="G330" s="20">
        <f>E330-F330</f>
        <v>10.627134328358206</v>
      </c>
      <c r="H330" s="8">
        <v>117</v>
      </c>
      <c r="I330" s="8" t="s">
        <v>11</v>
      </c>
      <c r="J330" s="5"/>
    </row>
    <row r="331" spans="1:10" s="11" customFormat="1">
      <c r="A331" s="8">
        <v>1</v>
      </c>
      <c r="B331" s="8" t="s">
        <v>9</v>
      </c>
      <c r="C331" s="5" t="s">
        <v>212</v>
      </c>
      <c r="D331" s="6">
        <v>1</v>
      </c>
      <c r="E331" s="8">
        <v>4.13</v>
      </c>
      <c r="F331" s="20">
        <f t="shared" si="5"/>
        <v>4.2328656716417941</v>
      </c>
      <c r="G331" s="20">
        <f>E331-F331</f>
        <v>-0.10286567164179417</v>
      </c>
      <c r="H331" s="8">
        <v>103</v>
      </c>
      <c r="I331" s="8" t="s">
        <v>11</v>
      </c>
      <c r="J331" s="5"/>
    </row>
    <row r="332" spans="1:10">
      <c r="A332" s="8">
        <v>1</v>
      </c>
      <c r="B332" s="8" t="s">
        <v>9</v>
      </c>
      <c r="C332" s="5" t="s">
        <v>213</v>
      </c>
      <c r="D332" s="6">
        <v>1</v>
      </c>
      <c r="E332" s="8">
        <v>8.3699999999999992</v>
      </c>
      <c r="F332" s="20">
        <f t="shared" si="5"/>
        <v>4.2328656716417941</v>
      </c>
      <c r="G332" s="20">
        <f>E332-F332</f>
        <v>4.1371343283582052</v>
      </c>
      <c r="H332" s="8">
        <v>214</v>
      </c>
      <c r="I332" s="8" t="s">
        <v>11</v>
      </c>
      <c r="J332" s="5"/>
    </row>
    <row r="333" spans="1:10" s="11" customFormat="1">
      <c r="A333" s="8">
        <v>1</v>
      </c>
      <c r="B333" s="8" t="s">
        <v>9</v>
      </c>
      <c r="C333" s="5" t="s">
        <v>213</v>
      </c>
      <c r="D333" s="6">
        <v>1</v>
      </c>
      <c r="E333" s="8">
        <v>7.02</v>
      </c>
      <c r="F333" s="20">
        <f t="shared" si="5"/>
        <v>4.2328656716417941</v>
      </c>
      <c r="G333" s="20">
        <f>E333-F333</f>
        <v>2.7871343283582055</v>
      </c>
      <c r="H333" s="8">
        <v>83</v>
      </c>
      <c r="I333" s="8" t="s">
        <v>11</v>
      </c>
      <c r="J333" s="5"/>
    </row>
    <row r="334" spans="1:10">
      <c r="A334" s="8">
        <v>1</v>
      </c>
      <c r="B334" s="8" t="s">
        <v>9</v>
      </c>
      <c r="C334" s="5" t="s">
        <v>214</v>
      </c>
      <c r="D334" s="6">
        <v>1</v>
      </c>
      <c r="E334" s="8">
        <v>2.88</v>
      </c>
      <c r="F334" s="20">
        <f t="shared" si="5"/>
        <v>4.2328656716417941</v>
      </c>
      <c r="G334" s="20">
        <f>E334-F334</f>
        <v>-1.3528656716417942</v>
      </c>
      <c r="H334" s="8">
        <v>181</v>
      </c>
      <c r="I334" s="8" t="s">
        <v>11</v>
      </c>
      <c r="J334" s="5"/>
    </row>
    <row r="335" spans="1:10" s="11" customFormat="1">
      <c r="A335" s="8">
        <v>1</v>
      </c>
      <c r="B335" s="8" t="s">
        <v>9</v>
      </c>
      <c r="C335" s="5" t="s">
        <v>214</v>
      </c>
      <c r="D335" s="6">
        <v>1</v>
      </c>
      <c r="E335" s="8">
        <v>6.38</v>
      </c>
      <c r="F335" s="20">
        <f t="shared" si="5"/>
        <v>4.2328656716417941</v>
      </c>
      <c r="G335" s="20">
        <f>E335-F335</f>
        <v>2.1471343283582058</v>
      </c>
      <c r="H335" s="8">
        <v>26</v>
      </c>
      <c r="I335" s="8" t="s">
        <v>11</v>
      </c>
      <c r="J335" s="5"/>
    </row>
    <row r="336" spans="1:10" s="11" customFormat="1">
      <c r="A336" s="6">
        <v>1</v>
      </c>
      <c r="B336" s="6" t="s">
        <v>9</v>
      </c>
      <c r="C336" s="5" t="s">
        <v>215</v>
      </c>
      <c r="D336" s="6">
        <v>1</v>
      </c>
      <c r="E336" s="6">
        <v>2.13</v>
      </c>
      <c r="F336" s="20">
        <f t="shared" si="5"/>
        <v>4.2328656716417941</v>
      </c>
      <c r="G336" s="20">
        <f>E336-F336</f>
        <v>-2.1028656716417942</v>
      </c>
      <c r="H336" s="6">
        <v>27</v>
      </c>
      <c r="I336" s="6" t="s">
        <v>11</v>
      </c>
      <c r="J336" s="5"/>
    </row>
    <row r="337" spans="1:10">
      <c r="A337" s="8">
        <v>2</v>
      </c>
      <c r="B337" s="8" t="s">
        <v>216</v>
      </c>
      <c r="C337" s="12" t="s">
        <v>217</v>
      </c>
      <c r="D337" s="6">
        <v>1</v>
      </c>
      <c r="E337" s="8">
        <v>0</v>
      </c>
      <c r="F337" s="8">
        <f>AVERAGE(E337:E340)</f>
        <v>18.5</v>
      </c>
      <c r="G337" s="20">
        <f>E337-F337</f>
        <v>-18.5</v>
      </c>
      <c r="H337" s="8">
        <v>100</v>
      </c>
      <c r="I337" s="6" t="s">
        <v>218</v>
      </c>
      <c r="J337" s="5" t="s">
        <v>219</v>
      </c>
    </row>
    <row r="338" spans="1:10">
      <c r="A338" s="8">
        <v>2</v>
      </c>
      <c r="B338" s="8" t="s">
        <v>216</v>
      </c>
      <c r="C338" s="12" t="s">
        <v>220</v>
      </c>
      <c r="D338" s="6">
        <v>1</v>
      </c>
      <c r="E338" s="8">
        <v>12</v>
      </c>
      <c r="F338" s="8">
        <f>AVERAGE(E337:E340)</f>
        <v>18.5</v>
      </c>
      <c r="G338" s="20">
        <f>E338-F338</f>
        <v>-6.5</v>
      </c>
      <c r="H338" s="8">
        <v>100</v>
      </c>
      <c r="I338" s="6" t="s">
        <v>218</v>
      </c>
      <c r="J338" s="5"/>
    </row>
    <row r="339" spans="1:10">
      <c r="A339" s="8">
        <v>2</v>
      </c>
      <c r="B339" s="8" t="s">
        <v>216</v>
      </c>
      <c r="C339" s="12" t="s">
        <v>217</v>
      </c>
      <c r="D339" s="6">
        <v>2</v>
      </c>
      <c r="E339" s="8">
        <v>5</v>
      </c>
      <c r="F339" s="8">
        <f>AVERAGE(E337:E340)</f>
        <v>18.5</v>
      </c>
      <c r="G339" s="20">
        <f>E339-F339</f>
        <v>-13.5</v>
      </c>
      <c r="H339" s="8">
        <v>100</v>
      </c>
      <c r="I339" s="6" t="s">
        <v>218</v>
      </c>
      <c r="J339" s="5" t="s">
        <v>221</v>
      </c>
    </row>
    <row r="340" spans="1:10">
      <c r="A340" s="8">
        <v>2</v>
      </c>
      <c r="B340" s="8" t="s">
        <v>216</v>
      </c>
      <c r="C340" s="12" t="s">
        <v>220</v>
      </c>
      <c r="D340" s="6">
        <v>2</v>
      </c>
      <c r="E340" s="8">
        <v>57</v>
      </c>
      <c r="F340" s="8">
        <f>AVERAGE(E337:E340)</f>
        <v>18.5</v>
      </c>
      <c r="G340" s="20">
        <f>E340-F340</f>
        <v>38.5</v>
      </c>
      <c r="H340" s="8">
        <v>100</v>
      </c>
      <c r="I340" s="6" t="s">
        <v>218</v>
      </c>
      <c r="J340" s="5"/>
    </row>
    <row r="341" spans="1:10" s="13" customFormat="1">
      <c r="A341" s="9">
        <v>3</v>
      </c>
      <c r="B341" s="9" t="s">
        <v>222</v>
      </c>
      <c r="C341" s="22" t="s">
        <v>223</v>
      </c>
      <c r="D341" s="9">
        <v>10</v>
      </c>
      <c r="E341" s="9">
        <v>1.8</v>
      </c>
      <c r="F341" s="9">
        <f>AVERAGE(E341:E346)</f>
        <v>2.2666666666666666</v>
      </c>
      <c r="G341" s="27">
        <f>E341-F341</f>
        <v>-0.46666666666666656</v>
      </c>
      <c r="H341" s="9">
        <v>50</v>
      </c>
      <c r="I341" s="9" t="s">
        <v>224</v>
      </c>
      <c r="J341" s="5"/>
    </row>
    <row r="342" spans="1:10">
      <c r="A342" s="8">
        <v>3</v>
      </c>
      <c r="B342" s="8" t="s">
        <v>222</v>
      </c>
      <c r="C342" s="6" t="s">
        <v>223</v>
      </c>
      <c r="D342" s="6">
        <v>15</v>
      </c>
      <c r="E342" s="8">
        <v>3.1</v>
      </c>
      <c r="F342" s="8">
        <v>2.2666666666666666</v>
      </c>
      <c r="G342" s="20">
        <f>E342-F342</f>
        <v>0.83333333333333348</v>
      </c>
      <c r="H342" s="8">
        <v>210</v>
      </c>
      <c r="I342" s="6" t="s">
        <v>224</v>
      </c>
      <c r="J342" s="5"/>
    </row>
    <row r="343" spans="1:10">
      <c r="A343" s="8">
        <v>3</v>
      </c>
      <c r="B343" s="8" t="s">
        <v>222</v>
      </c>
      <c r="C343" s="6" t="s">
        <v>223</v>
      </c>
      <c r="D343" s="6">
        <v>9</v>
      </c>
      <c r="E343" s="8">
        <v>5.3</v>
      </c>
      <c r="F343" s="8">
        <v>2.2666666666666666</v>
      </c>
      <c r="G343" s="20">
        <f>E343-F343</f>
        <v>3.0333333333333332</v>
      </c>
      <c r="H343" s="8">
        <v>55</v>
      </c>
      <c r="I343" s="6" t="s">
        <v>224</v>
      </c>
      <c r="J343" s="5"/>
    </row>
    <row r="344" spans="1:10">
      <c r="A344" s="8">
        <v>3</v>
      </c>
      <c r="B344" s="8" t="s">
        <v>222</v>
      </c>
      <c r="C344" s="28" t="s">
        <v>225</v>
      </c>
      <c r="D344" s="6">
        <v>10</v>
      </c>
      <c r="E344" s="8">
        <v>0</v>
      </c>
      <c r="F344" s="8">
        <v>2.2666666666666666</v>
      </c>
      <c r="G344" s="20">
        <f>E344-F344</f>
        <v>-2.2666666666666666</v>
      </c>
      <c r="H344" s="8">
        <v>9</v>
      </c>
      <c r="I344" s="6" t="s">
        <v>224</v>
      </c>
      <c r="J344" s="5"/>
    </row>
    <row r="345" spans="1:10">
      <c r="A345" s="8">
        <v>3</v>
      </c>
      <c r="B345" s="8" t="s">
        <v>222</v>
      </c>
      <c r="C345" s="28" t="s">
        <v>225</v>
      </c>
      <c r="D345" s="6">
        <v>15</v>
      </c>
      <c r="E345" s="8">
        <v>3.4</v>
      </c>
      <c r="F345" s="8">
        <v>2.2666666666666666</v>
      </c>
      <c r="G345" s="20">
        <f>E345-F345</f>
        <v>1.1333333333333333</v>
      </c>
      <c r="H345" s="8">
        <v>28</v>
      </c>
      <c r="I345" s="6" t="s">
        <v>224</v>
      </c>
      <c r="J345" s="5"/>
    </row>
    <row r="346" spans="1:10" s="14" customFormat="1">
      <c r="A346" s="15">
        <v>3</v>
      </c>
      <c r="B346" s="15" t="s">
        <v>222</v>
      </c>
      <c r="C346" s="29" t="s">
        <v>225</v>
      </c>
      <c r="D346" s="15">
        <v>9</v>
      </c>
      <c r="E346" s="15">
        <v>0</v>
      </c>
      <c r="F346" s="8">
        <v>2.2666666666666666</v>
      </c>
      <c r="G346" s="30">
        <f>E346-F346</f>
        <v>-2.2666666666666666</v>
      </c>
      <c r="H346" s="15">
        <v>10</v>
      </c>
      <c r="I346" s="15" t="s">
        <v>224</v>
      </c>
      <c r="J346" s="26"/>
    </row>
    <row r="347" spans="1:10">
      <c r="A347" s="8">
        <v>4</v>
      </c>
      <c r="B347" s="6" t="s">
        <v>226</v>
      </c>
      <c r="C347" s="12" t="s">
        <v>227</v>
      </c>
      <c r="D347" s="6">
        <v>1</v>
      </c>
      <c r="E347" s="6">
        <v>41.4</v>
      </c>
      <c r="F347" s="6">
        <v>17.600000000000001</v>
      </c>
      <c r="G347" s="20">
        <f>E347-F347</f>
        <v>23.799999999999997</v>
      </c>
      <c r="H347" s="8">
        <f>14*100</f>
        <v>1400</v>
      </c>
      <c r="I347" s="6" t="s">
        <v>228</v>
      </c>
      <c r="J347" s="5"/>
    </row>
    <row r="348" spans="1:10">
      <c r="A348" s="8">
        <v>4</v>
      </c>
      <c r="B348" s="6" t="s">
        <v>226</v>
      </c>
      <c r="C348" s="12" t="s">
        <v>229</v>
      </c>
      <c r="D348" s="6">
        <v>1</v>
      </c>
      <c r="E348" s="6">
        <v>3.3</v>
      </c>
      <c r="F348" s="6">
        <v>17.600000000000001</v>
      </c>
      <c r="G348" s="20">
        <f>E348-F348</f>
        <v>-14.3</v>
      </c>
      <c r="H348" s="8">
        <v>1400</v>
      </c>
      <c r="I348" s="6" t="s">
        <v>228</v>
      </c>
      <c r="J348" s="5"/>
    </row>
    <row r="349" spans="1:10">
      <c r="A349" s="8">
        <v>4</v>
      </c>
      <c r="B349" s="8" t="s">
        <v>226</v>
      </c>
      <c r="C349" s="12" t="s">
        <v>230</v>
      </c>
      <c r="D349" s="6">
        <v>1</v>
      </c>
      <c r="E349" s="8">
        <v>15</v>
      </c>
      <c r="F349" s="6">
        <v>17.600000000000001</v>
      </c>
      <c r="G349" s="20">
        <f>E349-F349</f>
        <v>-2.6000000000000014</v>
      </c>
      <c r="H349" s="8">
        <v>1400</v>
      </c>
      <c r="I349" s="6" t="s">
        <v>228</v>
      </c>
      <c r="J349" s="5"/>
    </row>
    <row r="350" spans="1:10">
      <c r="A350" s="8">
        <v>4</v>
      </c>
      <c r="B350" s="8" t="s">
        <v>226</v>
      </c>
      <c r="C350" s="12" t="s">
        <v>231</v>
      </c>
      <c r="D350" s="6">
        <v>1</v>
      </c>
      <c r="E350" s="8">
        <v>15</v>
      </c>
      <c r="F350" s="6">
        <v>17.600000000000001</v>
      </c>
      <c r="G350" s="20">
        <f>E350-F350</f>
        <v>-2.6000000000000014</v>
      </c>
      <c r="H350" s="8">
        <v>1400</v>
      </c>
      <c r="I350" s="6" t="s">
        <v>228</v>
      </c>
      <c r="J350" s="5" t="s">
        <v>232</v>
      </c>
    </row>
    <row r="351" spans="1:10">
      <c r="A351" s="8">
        <v>4</v>
      </c>
      <c r="B351" s="8" t="s">
        <v>226</v>
      </c>
      <c r="C351" s="12" t="s">
        <v>233</v>
      </c>
      <c r="D351" s="6">
        <v>1</v>
      </c>
      <c r="E351" s="8">
        <v>14</v>
      </c>
      <c r="F351" s="6">
        <v>17.600000000000001</v>
      </c>
      <c r="G351" s="20">
        <f>E351-F351</f>
        <v>-3.6000000000000014</v>
      </c>
      <c r="H351" s="8">
        <v>1400</v>
      </c>
      <c r="I351" s="6" t="s">
        <v>228</v>
      </c>
      <c r="J351" s="5"/>
    </row>
    <row r="352" spans="1:10">
      <c r="A352" s="8">
        <v>4</v>
      </c>
      <c r="B352" s="8" t="s">
        <v>226</v>
      </c>
      <c r="C352" s="12" t="s">
        <v>234</v>
      </c>
      <c r="D352" s="6">
        <v>1</v>
      </c>
      <c r="E352" s="8">
        <v>17</v>
      </c>
      <c r="F352" s="6">
        <v>17.600000000000001</v>
      </c>
      <c r="G352" s="20">
        <f>E352-F352</f>
        <v>-0.60000000000000142</v>
      </c>
      <c r="H352" s="8">
        <v>600</v>
      </c>
      <c r="I352" s="6" t="s">
        <v>228</v>
      </c>
      <c r="J352" s="5"/>
    </row>
    <row r="353" spans="1:10" s="13" customFormat="1">
      <c r="A353" s="9">
        <v>5</v>
      </c>
      <c r="B353" s="9" t="s">
        <v>235</v>
      </c>
      <c r="C353" s="17" t="s">
        <v>236</v>
      </c>
      <c r="D353" s="9">
        <v>1</v>
      </c>
      <c r="E353" s="9">
        <v>0.3</v>
      </c>
      <c r="F353" s="27">
        <f>AVERAGE(E$353:E$368)</f>
        <v>1.6</v>
      </c>
      <c r="G353" s="27">
        <f>E353-F353</f>
        <v>-1.3</v>
      </c>
      <c r="H353" s="9">
        <v>303</v>
      </c>
      <c r="I353" s="9" t="s">
        <v>237</v>
      </c>
      <c r="J353" s="22"/>
    </row>
    <row r="354" spans="1:10">
      <c r="A354" s="8">
        <v>5</v>
      </c>
      <c r="B354" s="8" t="s">
        <v>235</v>
      </c>
      <c r="C354" s="12" t="s">
        <v>238</v>
      </c>
      <c r="D354" s="6">
        <v>1</v>
      </c>
      <c r="E354" s="8">
        <v>1.6</v>
      </c>
      <c r="F354" s="20">
        <f t="shared" ref="F354:F368" si="6">AVERAGE(E$353:E$368)</f>
        <v>1.6</v>
      </c>
      <c r="G354" s="20">
        <f>E354-F354</f>
        <v>0</v>
      </c>
      <c r="H354" s="8">
        <v>303</v>
      </c>
      <c r="I354" s="6" t="s">
        <v>237</v>
      </c>
      <c r="J354" s="5"/>
    </row>
    <row r="355" spans="1:10">
      <c r="A355" s="8">
        <v>5</v>
      </c>
      <c r="B355" s="8" t="s">
        <v>235</v>
      </c>
      <c r="C355" s="12" t="s">
        <v>239</v>
      </c>
      <c r="D355" s="6">
        <v>1</v>
      </c>
      <c r="E355" s="8">
        <v>0.5</v>
      </c>
      <c r="F355" s="20">
        <f t="shared" si="6"/>
        <v>1.6</v>
      </c>
      <c r="G355" s="20">
        <f>E355-F355</f>
        <v>-1.1000000000000001</v>
      </c>
      <c r="H355" s="8">
        <v>303</v>
      </c>
      <c r="I355" s="6" t="s">
        <v>237</v>
      </c>
      <c r="J355" s="5"/>
    </row>
    <row r="356" spans="1:10">
      <c r="A356" s="8">
        <v>5</v>
      </c>
      <c r="B356" s="8" t="s">
        <v>235</v>
      </c>
      <c r="C356" s="12" t="s">
        <v>240</v>
      </c>
      <c r="D356" s="6">
        <v>1</v>
      </c>
      <c r="E356" s="8">
        <v>2.1</v>
      </c>
      <c r="F356" s="20">
        <f t="shared" si="6"/>
        <v>1.6</v>
      </c>
      <c r="G356" s="20">
        <f>E356-F356</f>
        <v>0.5</v>
      </c>
      <c r="H356" s="8">
        <v>303</v>
      </c>
      <c r="I356" s="6" t="s">
        <v>237</v>
      </c>
      <c r="J356" s="5"/>
    </row>
    <row r="357" spans="1:10">
      <c r="A357" s="8">
        <v>5</v>
      </c>
      <c r="B357" s="8" t="s">
        <v>235</v>
      </c>
      <c r="C357" s="12" t="s">
        <v>241</v>
      </c>
      <c r="D357" s="6">
        <v>1</v>
      </c>
      <c r="E357" s="8">
        <v>0.3</v>
      </c>
      <c r="F357" s="20">
        <f t="shared" si="6"/>
        <v>1.6</v>
      </c>
      <c r="G357" s="20">
        <f>E357-F357</f>
        <v>-1.3</v>
      </c>
      <c r="H357" s="8">
        <v>146</v>
      </c>
      <c r="I357" s="6" t="s">
        <v>237</v>
      </c>
      <c r="J357" s="5"/>
    </row>
    <row r="358" spans="1:10">
      <c r="A358" s="8">
        <v>5</v>
      </c>
      <c r="B358" s="8" t="s">
        <v>235</v>
      </c>
      <c r="C358" s="12" t="s">
        <v>242</v>
      </c>
      <c r="D358" s="6">
        <v>1</v>
      </c>
      <c r="E358" s="8">
        <v>1.3</v>
      </c>
      <c r="F358" s="20">
        <f t="shared" si="6"/>
        <v>1.6</v>
      </c>
      <c r="G358" s="20">
        <f>E358-F358</f>
        <v>-0.30000000000000004</v>
      </c>
      <c r="H358" s="8">
        <v>146</v>
      </c>
      <c r="I358" s="6" t="s">
        <v>237</v>
      </c>
      <c r="J358" s="5"/>
    </row>
    <row r="359" spans="1:10">
      <c r="A359" s="8">
        <v>5</v>
      </c>
      <c r="B359" s="8" t="s">
        <v>235</v>
      </c>
      <c r="C359" s="12" t="s">
        <v>243</v>
      </c>
      <c r="D359" s="6">
        <v>1</v>
      </c>
      <c r="E359" s="8">
        <v>0.7</v>
      </c>
      <c r="F359" s="20">
        <f t="shared" si="6"/>
        <v>1.6</v>
      </c>
      <c r="G359" s="20">
        <f>E359-F359</f>
        <v>-0.90000000000000013</v>
      </c>
      <c r="H359" s="8">
        <v>146</v>
      </c>
      <c r="I359" s="6" t="s">
        <v>237</v>
      </c>
      <c r="J359" s="5"/>
    </row>
    <row r="360" spans="1:10">
      <c r="A360" s="8">
        <v>5</v>
      </c>
      <c r="B360" s="8" t="s">
        <v>235</v>
      </c>
      <c r="C360" s="12" t="s">
        <v>244</v>
      </c>
      <c r="D360" s="6">
        <v>1</v>
      </c>
      <c r="E360" s="8">
        <v>1.4</v>
      </c>
      <c r="F360" s="20">
        <f t="shared" si="6"/>
        <v>1.6</v>
      </c>
      <c r="G360" s="20">
        <f>E360-F360</f>
        <v>-0.20000000000000018</v>
      </c>
      <c r="H360" s="8">
        <v>146</v>
      </c>
      <c r="I360" s="6" t="s">
        <v>237</v>
      </c>
      <c r="J360" s="5"/>
    </row>
    <row r="361" spans="1:10">
      <c r="A361" s="8">
        <v>5</v>
      </c>
      <c r="B361" s="8" t="s">
        <v>235</v>
      </c>
      <c r="C361" s="12" t="s">
        <v>245</v>
      </c>
      <c r="D361" s="6">
        <v>1</v>
      </c>
      <c r="E361" s="8">
        <v>3.8</v>
      </c>
      <c r="F361" s="20">
        <f t="shared" si="6"/>
        <v>1.6</v>
      </c>
      <c r="G361" s="20">
        <f>E361-F361</f>
        <v>2.1999999999999997</v>
      </c>
      <c r="H361" s="8">
        <v>253</v>
      </c>
      <c r="I361" s="6" t="s">
        <v>237</v>
      </c>
      <c r="J361" s="5"/>
    </row>
    <row r="362" spans="1:10">
      <c r="A362" s="8">
        <v>5</v>
      </c>
      <c r="B362" s="8" t="s">
        <v>235</v>
      </c>
      <c r="C362" s="12" t="s">
        <v>246</v>
      </c>
      <c r="D362" s="6">
        <v>1</v>
      </c>
      <c r="E362" s="8">
        <v>2.1</v>
      </c>
      <c r="F362" s="20">
        <f t="shared" si="6"/>
        <v>1.6</v>
      </c>
      <c r="G362" s="20">
        <f>E362-F362</f>
        <v>0.5</v>
      </c>
      <c r="H362" s="8">
        <v>253</v>
      </c>
      <c r="I362" s="6" t="s">
        <v>237</v>
      </c>
      <c r="J362" s="5"/>
    </row>
    <row r="363" spans="1:10">
      <c r="A363" s="8">
        <v>5</v>
      </c>
      <c r="B363" s="8" t="s">
        <v>235</v>
      </c>
      <c r="C363" s="12" t="s">
        <v>247</v>
      </c>
      <c r="D363" s="6">
        <v>1</v>
      </c>
      <c r="E363" s="8">
        <v>1.8</v>
      </c>
      <c r="F363" s="20">
        <f t="shared" si="6"/>
        <v>1.6</v>
      </c>
      <c r="G363" s="20">
        <f>E363-F363</f>
        <v>0.19999999999999996</v>
      </c>
      <c r="H363" s="8">
        <v>253</v>
      </c>
      <c r="I363" s="6" t="s">
        <v>237</v>
      </c>
      <c r="J363" s="5"/>
    </row>
    <row r="364" spans="1:10">
      <c r="A364" s="8">
        <v>5</v>
      </c>
      <c r="B364" s="8" t="s">
        <v>235</v>
      </c>
      <c r="C364" s="12" t="s">
        <v>248</v>
      </c>
      <c r="D364" s="6">
        <v>1</v>
      </c>
      <c r="E364" s="8">
        <v>3.2</v>
      </c>
      <c r="F364" s="20">
        <f t="shared" si="6"/>
        <v>1.6</v>
      </c>
      <c r="G364" s="20">
        <f>E364-F364</f>
        <v>1.6</v>
      </c>
      <c r="H364" s="8">
        <v>253</v>
      </c>
      <c r="I364" s="6" t="s">
        <v>237</v>
      </c>
      <c r="J364" s="5"/>
    </row>
    <row r="365" spans="1:10">
      <c r="A365" s="8">
        <v>5</v>
      </c>
      <c r="B365" s="6" t="s">
        <v>235</v>
      </c>
      <c r="C365" s="12" t="s">
        <v>249</v>
      </c>
      <c r="D365" s="6">
        <v>1</v>
      </c>
      <c r="E365" s="6">
        <v>1.1000000000000001</v>
      </c>
      <c r="F365" s="20">
        <f t="shared" si="6"/>
        <v>1.6</v>
      </c>
      <c r="G365" s="20">
        <f>E365-F365</f>
        <v>-0.5</v>
      </c>
      <c r="H365" s="6">
        <v>98</v>
      </c>
      <c r="I365" s="6" t="s">
        <v>237</v>
      </c>
      <c r="J365" s="5"/>
    </row>
    <row r="366" spans="1:10">
      <c r="A366" s="8">
        <v>5</v>
      </c>
      <c r="B366" s="8" t="s">
        <v>235</v>
      </c>
      <c r="C366" s="12" t="s">
        <v>250</v>
      </c>
      <c r="D366" s="6">
        <v>1</v>
      </c>
      <c r="E366" s="8">
        <v>1.4</v>
      </c>
      <c r="F366" s="20">
        <f t="shared" si="6"/>
        <v>1.6</v>
      </c>
      <c r="G366" s="20">
        <f>E366-F366</f>
        <v>-0.20000000000000018</v>
      </c>
      <c r="H366" s="8">
        <v>98</v>
      </c>
      <c r="I366" s="6" t="s">
        <v>237</v>
      </c>
      <c r="J366" s="5"/>
    </row>
    <row r="367" spans="1:10">
      <c r="A367" s="8">
        <v>5</v>
      </c>
      <c r="B367" s="8" t="s">
        <v>235</v>
      </c>
      <c r="C367" s="12" t="s">
        <v>251</v>
      </c>
      <c r="D367" s="6">
        <v>1</v>
      </c>
      <c r="E367" s="8">
        <v>0.8</v>
      </c>
      <c r="F367" s="20">
        <f t="shared" si="6"/>
        <v>1.6</v>
      </c>
      <c r="G367" s="20">
        <f>E367-F367</f>
        <v>-0.8</v>
      </c>
      <c r="H367" s="8">
        <v>98</v>
      </c>
      <c r="I367" s="6" t="s">
        <v>237</v>
      </c>
      <c r="J367" s="5"/>
    </row>
    <row r="368" spans="1:10" s="14" customFormat="1">
      <c r="A368" s="8">
        <v>5</v>
      </c>
      <c r="B368" s="15" t="s">
        <v>235</v>
      </c>
      <c r="C368" s="19" t="s">
        <v>252</v>
      </c>
      <c r="D368" s="15">
        <v>1</v>
      </c>
      <c r="E368" s="15">
        <v>3.2</v>
      </c>
      <c r="F368" s="20">
        <f t="shared" si="6"/>
        <v>1.6</v>
      </c>
      <c r="G368" s="20">
        <f>E368-F368</f>
        <v>1.6</v>
      </c>
      <c r="H368" s="6">
        <v>98</v>
      </c>
      <c r="I368" s="15" t="s">
        <v>237</v>
      </c>
      <c r="J368" s="26"/>
    </row>
    <row r="369" spans="1:10">
      <c r="A369" s="8">
        <v>6</v>
      </c>
      <c r="B369" s="8" t="s">
        <v>253</v>
      </c>
      <c r="C369" s="5" t="s">
        <v>254</v>
      </c>
      <c r="D369" s="6">
        <v>1</v>
      </c>
      <c r="E369" s="8">
        <f>(0.063*29.5*15+0.02*77.8*21+0.037*10*33.3)/46</f>
        <v>1.5842282608695653</v>
      </c>
      <c r="F369" s="20">
        <f>AVERAGE(E$369:E$373)</f>
        <v>0.92843913043478266</v>
      </c>
      <c r="G369" s="20">
        <f>E369-F369</f>
        <v>0.6557891304347826</v>
      </c>
      <c r="H369" s="8">
        <f>46*20</f>
        <v>920</v>
      </c>
      <c r="I369" s="6" t="s">
        <v>255</v>
      </c>
      <c r="J369" s="5" t="s">
        <v>256</v>
      </c>
    </row>
    <row r="370" spans="1:10">
      <c r="A370" s="8">
        <v>6</v>
      </c>
      <c r="B370" s="8" t="s">
        <v>253</v>
      </c>
      <c r="C370" s="5" t="s">
        <v>257</v>
      </c>
      <c r="D370" s="6">
        <v>1</v>
      </c>
      <c r="E370" s="8">
        <f>(0.063*54.5*15+0.02*11.1*21+0.037*66.7*10)/46</f>
        <v>1.7574673913043479</v>
      </c>
      <c r="F370" s="20">
        <v>0.93</v>
      </c>
      <c r="G370" s="20">
        <f>E370-F370</f>
        <v>0.82746739130434788</v>
      </c>
      <c r="H370" s="8">
        <f t="shared" ref="H370:H372" si="7">46*20</f>
        <v>920</v>
      </c>
      <c r="I370" s="6" t="s">
        <v>255</v>
      </c>
      <c r="J370" s="5"/>
    </row>
    <row r="371" spans="1:10">
      <c r="A371" s="8">
        <v>6</v>
      </c>
      <c r="B371" s="8" t="s">
        <v>253</v>
      </c>
      <c r="C371" s="5" t="s">
        <v>258</v>
      </c>
      <c r="D371" s="6">
        <v>1</v>
      </c>
      <c r="E371" s="8">
        <f>(0.067*2.3*15)/46</f>
        <v>5.0249999999999996E-2</v>
      </c>
      <c r="F371" s="20">
        <v>0.93</v>
      </c>
      <c r="G371" s="20">
        <f>E371-F371</f>
        <v>-0.87975000000000003</v>
      </c>
      <c r="H371" s="8">
        <f t="shared" si="7"/>
        <v>920</v>
      </c>
      <c r="I371" s="6" t="s">
        <v>255</v>
      </c>
      <c r="J371" s="5"/>
    </row>
    <row r="372" spans="1:10">
      <c r="A372" s="8">
        <v>6</v>
      </c>
      <c r="B372" s="6" t="s">
        <v>253</v>
      </c>
      <c r="C372" s="5" t="s">
        <v>259</v>
      </c>
      <c r="D372" s="6">
        <v>1</v>
      </c>
      <c r="E372" s="8">
        <f>(0.067*2.3*15)/46</f>
        <v>5.0249999999999996E-2</v>
      </c>
      <c r="F372" s="20">
        <v>0.93</v>
      </c>
      <c r="G372" s="20">
        <f>E372-F372</f>
        <v>-0.87975000000000003</v>
      </c>
      <c r="H372" s="8">
        <f t="shared" si="7"/>
        <v>920</v>
      </c>
      <c r="I372" s="6" t="s">
        <v>255</v>
      </c>
      <c r="J372" s="5"/>
    </row>
    <row r="373" spans="1:10">
      <c r="A373" s="8">
        <v>6</v>
      </c>
      <c r="B373" s="6" t="s">
        <v>253</v>
      </c>
      <c r="C373" s="5" t="s">
        <v>260</v>
      </c>
      <c r="D373" s="6">
        <v>1</v>
      </c>
      <c r="E373" s="8">
        <v>1.2</v>
      </c>
      <c r="F373" s="20">
        <v>0.93</v>
      </c>
      <c r="G373" s="20">
        <f>E373-F373</f>
        <v>0.26999999999999991</v>
      </c>
      <c r="H373" s="8">
        <f>11*20</f>
        <v>220</v>
      </c>
      <c r="I373" s="6" t="s">
        <v>255</v>
      </c>
      <c r="J373" s="5"/>
    </row>
    <row r="374" spans="1:10" s="13" customFormat="1">
      <c r="A374" s="9">
        <v>7</v>
      </c>
      <c r="B374" s="9" t="s">
        <v>261</v>
      </c>
      <c r="C374" s="17" t="s">
        <v>262</v>
      </c>
      <c r="D374" s="9">
        <v>1</v>
      </c>
      <c r="E374" s="9">
        <v>1</v>
      </c>
      <c r="F374" s="9">
        <v>13.574999999999999</v>
      </c>
      <c r="G374" s="27">
        <f>E374-F374</f>
        <v>-12.574999999999999</v>
      </c>
      <c r="H374" s="9">
        <v>102</v>
      </c>
      <c r="I374" s="9" t="s">
        <v>263</v>
      </c>
      <c r="J374" s="22"/>
    </row>
    <row r="375" spans="1:10">
      <c r="A375" s="8">
        <v>7</v>
      </c>
      <c r="B375" s="8" t="s">
        <v>261</v>
      </c>
      <c r="C375" s="12" t="s">
        <v>264</v>
      </c>
      <c r="D375" s="6">
        <v>1</v>
      </c>
      <c r="E375" s="8">
        <v>5.9</v>
      </c>
      <c r="F375" s="6">
        <v>13.574999999999999</v>
      </c>
      <c r="G375" s="20">
        <f>E375-F375</f>
        <v>-7.6749999999999989</v>
      </c>
      <c r="H375" s="8">
        <v>152</v>
      </c>
      <c r="I375" s="6" t="s">
        <v>263</v>
      </c>
      <c r="J375" s="5"/>
    </row>
    <row r="376" spans="1:10">
      <c r="A376" s="8">
        <v>7</v>
      </c>
      <c r="B376" s="8" t="s">
        <v>261</v>
      </c>
      <c r="C376" s="12" t="s">
        <v>265</v>
      </c>
      <c r="D376" s="6">
        <v>1</v>
      </c>
      <c r="E376" s="8">
        <v>33.5</v>
      </c>
      <c r="F376" s="6">
        <v>13.574999999999999</v>
      </c>
      <c r="G376" s="20">
        <f>E376-F376</f>
        <v>19.925000000000001</v>
      </c>
      <c r="H376" s="8">
        <v>167</v>
      </c>
      <c r="I376" s="6" t="s">
        <v>263</v>
      </c>
      <c r="J376" s="5"/>
    </row>
    <row r="377" spans="1:10" s="14" customFormat="1">
      <c r="A377" s="15">
        <v>7</v>
      </c>
      <c r="B377" s="15" t="s">
        <v>261</v>
      </c>
      <c r="C377" s="19" t="s">
        <v>266</v>
      </c>
      <c r="D377" s="15">
        <v>1</v>
      </c>
      <c r="E377" s="15">
        <v>13.9</v>
      </c>
      <c r="F377" s="6">
        <v>13.574999999999999</v>
      </c>
      <c r="G377" s="20">
        <f>E377-F377</f>
        <v>0.32500000000000107</v>
      </c>
      <c r="H377" s="6">
        <v>223</v>
      </c>
      <c r="I377" s="15" t="s">
        <v>263</v>
      </c>
      <c r="J377" s="26"/>
    </row>
    <row r="378" spans="1:10">
      <c r="A378" s="8">
        <v>8</v>
      </c>
      <c r="B378" s="8" t="s">
        <v>267</v>
      </c>
      <c r="C378" s="12" t="s">
        <v>229</v>
      </c>
      <c r="D378" s="6">
        <v>1</v>
      </c>
      <c r="E378" s="8">
        <v>9</v>
      </c>
      <c r="F378" s="20">
        <f>AVERAGE(E$378:E$379)</f>
        <v>20.5</v>
      </c>
      <c r="G378" s="20">
        <f>E378-F378</f>
        <v>-11.5</v>
      </c>
      <c r="H378" s="8" t="e">
        <f>#REF!*196</f>
        <v>#REF!</v>
      </c>
      <c r="I378" s="6" t="s">
        <v>228</v>
      </c>
      <c r="J378" s="5"/>
    </row>
    <row r="379" spans="1:10">
      <c r="A379" s="8">
        <v>8</v>
      </c>
      <c r="B379" s="6" t="s">
        <v>267</v>
      </c>
      <c r="C379" s="12" t="s">
        <v>227</v>
      </c>
      <c r="D379" s="6">
        <v>1</v>
      </c>
      <c r="E379" s="6">
        <v>32</v>
      </c>
      <c r="F379" s="20">
        <f t="shared" ref="F379" si="8">AVERAGE(E$378:E$379)</f>
        <v>20.5</v>
      </c>
      <c r="G379" s="20">
        <f>E379-F379</f>
        <v>11.5</v>
      </c>
      <c r="H379" s="8" t="e">
        <f>#REF!*740</f>
        <v>#REF!</v>
      </c>
      <c r="I379" s="6" t="s">
        <v>268</v>
      </c>
      <c r="J379" s="5"/>
    </row>
    <row r="380" spans="1:10">
      <c r="A380" s="8">
        <v>8</v>
      </c>
      <c r="B380" s="8" t="s">
        <v>267</v>
      </c>
      <c r="C380" s="12" t="s">
        <v>229</v>
      </c>
      <c r="D380" s="6">
        <v>2</v>
      </c>
      <c r="E380" s="8">
        <v>10</v>
      </c>
      <c r="F380" s="20">
        <f>AVERAGE(E$380:E$381)</f>
        <v>31</v>
      </c>
      <c r="G380" s="20">
        <f>E380-F380</f>
        <v>-21</v>
      </c>
      <c r="H380" s="8" t="e">
        <f>#REF!*494</f>
        <v>#REF!</v>
      </c>
      <c r="I380" s="6" t="s">
        <v>269</v>
      </c>
      <c r="J380" s="5"/>
    </row>
    <row r="381" spans="1:10">
      <c r="A381" s="8">
        <v>8</v>
      </c>
      <c r="B381" s="8" t="s">
        <v>267</v>
      </c>
      <c r="C381" s="12" t="s">
        <v>227</v>
      </c>
      <c r="D381" s="6">
        <v>2</v>
      </c>
      <c r="E381" s="8">
        <v>52</v>
      </c>
      <c r="F381" s="20">
        <f>AVERAGE(E$380:E$381)</f>
        <v>31</v>
      </c>
      <c r="G381" s="20">
        <f>E381-F381</f>
        <v>21</v>
      </c>
      <c r="H381" s="8" t="e">
        <f>#REF!*391</f>
        <v>#REF!</v>
      </c>
      <c r="I381" s="6" t="s">
        <v>228</v>
      </c>
      <c r="J381" s="5"/>
    </row>
    <row r="382" spans="1:10">
      <c r="A382" s="8">
        <v>8</v>
      </c>
      <c r="B382" s="8" t="s">
        <v>267</v>
      </c>
      <c r="C382" s="12" t="s">
        <v>229</v>
      </c>
      <c r="D382" s="6">
        <v>3</v>
      </c>
      <c r="E382" s="8">
        <v>3</v>
      </c>
      <c r="F382" s="20">
        <f>AVERAGE(E$382:E$383)</f>
        <v>34</v>
      </c>
      <c r="G382" s="20">
        <f>E382-F382</f>
        <v>-31</v>
      </c>
      <c r="H382" s="8" t="e">
        <f>#REF!*402</f>
        <v>#REF!</v>
      </c>
      <c r="I382" s="6" t="s">
        <v>268</v>
      </c>
      <c r="J382" s="5"/>
    </row>
    <row r="383" spans="1:10" s="14" customFormat="1">
      <c r="A383" s="8">
        <v>8</v>
      </c>
      <c r="B383" s="15" t="s">
        <v>267</v>
      </c>
      <c r="C383" s="19" t="s">
        <v>227</v>
      </c>
      <c r="D383" s="15">
        <v>3</v>
      </c>
      <c r="E383" s="15">
        <v>65</v>
      </c>
      <c r="F383" s="20">
        <f>AVERAGE(E$382:E$383)</f>
        <v>34</v>
      </c>
      <c r="G383" s="20">
        <f>E383-F383</f>
        <v>31</v>
      </c>
      <c r="H383" s="15" t="e">
        <f>#REF!*1005</f>
        <v>#REF!</v>
      </c>
      <c r="I383" s="15" t="s">
        <v>269</v>
      </c>
      <c r="J383" s="26"/>
    </row>
    <row r="384" spans="1:10">
      <c r="A384" s="8">
        <v>9</v>
      </c>
      <c r="B384" s="8" t="s">
        <v>270</v>
      </c>
      <c r="C384" s="5" t="s">
        <v>271</v>
      </c>
      <c r="D384" s="6">
        <v>3</v>
      </c>
      <c r="E384" s="8">
        <v>0.38</v>
      </c>
      <c r="F384" s="20">
        <f>AVERAGE(E$384:E$386)</f>
        <v>0.47000000000000003</v>
      </c>
      <c r="G384" s="20">
        <f>E384-F384</f>
        <v>-9.0000000000000024E-2</v>
      </c>
      <c r="H384" s="8">
        <v>937</v>
      </c>
      <c r="I384" s="6" t="s">
        <v>272</v>
      </c>
      <c r="J384" s="5"/>
    </row>
    <row r="385" spans="1:10">
      <c r="A385" s="8">
        <v>9</v>
      </c>
      <c r="B385" s="8" t="s">
        <v>270</v>
      </c>
      <c r="C385" s="5" t="s">
        <v>273</v>
      </c>
      <c r="D385" s="6">
        <v>3</v>
      </c>
      <c r="E385" s="8">
        <v>0.37</v>
      </c>
      <c r="F385" s="20">
        <f t="shared" ref="F385:F386" si="9">AVERAGE(E$384:E$386)</f>
        <v>0.47000000000000003</v>
      </c>
      <c r="G385" s="20">
        <f>E385-F385</f>
        <v>-0.10000000000000003</v>
      </c>
      <c r="H385" s="8">
        <v>637.5</v>
      </c>
      <c r="I385" s="6" t="s">
        <v>272</v>
      </c>
      <c r="J385" s="5"/>
    </row>
    <row r="386" spans="1:10">
      <c r="A386" s="8">
        <v>9</v>
      </c>
      <c r="B386" s="8" t="s">
        <v>270</v>
      </c>
      <c r="C386" s="5" t="s">
        <v>274</v>
      </c>
      <c r="D386" s="6">
        <v>3</v>
      </c>
      <c r="E386" s="8">
        <v>0.66</v>
      </c>
      <c r="F386" s="20">
        <f t="shared" si="9"/>
        <v>0.47000000000000003</v>
      </c>
      <c r="G386" s="20">
        <f>E386-F386</f>
        <v>0.19</v>
      </c>
      <c r="H386" s="8">
        <v>657</v>
      </c>
      <c r="I386" s="6" t="s">
        <v>272</v>
      </c>
      <c r="J386" s="5" t="s">
        <v>275</v>
      </c>
    </row>
    <row r="387" spans="1:10">
      <c r="A387" s="8">
        <v>9</v>
      </c>
      <c r="B387" s="6" t="s">
        <v>270</v>
      </c>
      <c r="C387" s="5" t="s">
        <v>276</v>
      </c>
      <c r="D387" s="6">
        <v>4</v>
      </c>
      <c r="E387" s="6">
        <v>0.5</v>
      </c>
      <c r="F387" s="20">
        <f>AVERAGE(E$387:E$389)</f>
        <v>0.56999999999999995</v>
      </c>
      <c r="G387" s="20">
        <f>E387-F387</f>
        <v>-6.9999999999999951E-2</v>
      </c>
      <c r="H387" s="8">
        <v>937</v>
      </c>
      <c r="I387" s="6" t="s">
        <v>272</v>
      </c>
      <c r="J387" s="5"/>
    </row>
    <row r="388" spans="1:10">
      <c r="A388" s="8">
        <v>9</v>
      </c>
      <c r="B388" s="8" t="s">
        <v>270</v>
      </c>
      <c r="C388" s="5" t="s">
        <v>277</v>
      </c>
      <c r="D388" s="6">
        <v>4</v>
      </c>
      <c r="E388" s="8">
        <v>0.18</v>
      </c>
      <c r="F388" s="20">
        <f t="shared" ref="F388:F389" si="10">AVERAGE(E$387:E$389)</f>
        <v>0.56999999999999995</v>
      </c>
      <c r="G388" s="20">
        <f>E388-F388</f>
        <v>-0.38999999999999996</v>
      </c>
      <c r="H388" s="8">
        <v>637.5</v>
      </c>
      <c r="I388" s="6" t="s">
        <v>272</v>
      </c>
      <c r="J388" s="5"/>
    </row>
    <row r="389" spans="1:10" s="14" customFormat="1">
      <c r="A389" s="8">
        <v>9</v>
      </c>
      <c r="B389" s="15" t="s">
        <v>270</v>
      </c>
      <c r="C389" s="26" t="s">
        <v>278</v>
      </c>
      <c r="D389" s="15">
        <v>4</v>
      </c>
      <c r="E389" s="15">
        <v>1.03</v>
      </c>
      <c r="F389" s="20">
        <f t="shared" si="10"/>
        <v>0.56999999999999995</v>
      </c>
      <c r="G389" s="20">
        <f>E389-F389</f>
        <v>0.46000000000000008</v>
      </c>
      <c r="H389" s="15">
        <v>657</v>
      </c>
      <c r="I389" s="15" t="s">
        <v>272</v>
      </c>
      <c r="J389" s="26"/>
    </row>
    <row r="390" spans="1:10">
      <c r="A390" s="31">
        <v>10</v>
      </c>
      <c r="B390" s="8" t="s">
        <v>279</v>
      </c>
      <c r="C390" s="6" t="s">
        <v>280</v>
      </c>
      <c r="D390" s="8" t="s">
        <v>281</v>
      </c>
      <c r="E390" s="8">
        <v>14</v>
      </c>
      <c r="F390" s="20">
        <f>AVERAGE(E$390:E$393)</f>
        <v>16.5</v>
      </c>
      <c r="G390" s="20">
        <f>E390-F390</f>
        <v>-2.5</v>
      </c>
      <c r="H390" s="8">
        <v>86</v>
      </c>
      <c r="J390" s="5"/>
    </row>
    <row r="391" spans="1:10">
      <c r="A391" s="31">
        <v>10</v>
      </c>
      <c r="B391" s="8" t="s">
        <v>279</v>
      </c>
      <c r="C391" s="6" t="s">
        <v>282</v>
      </c>
      <c r="D391" s="8" t="s">
        <v>281</v>
      </c>
      <c r="E391" s="8">
        <v>12</v>
      </c>
      <c r="F391" s="20">
        <f t="shared" ref="F391:F393" si="11">AVERAGE(E$390:E$393)</f>
        <v>16.5</v>
      </c>
      <c r="G391" s="20">
        <f>E391-F391</f>
        <v>-4.5</v>
      </c>
      <c r="H391" s="8">
        <v>59</v>
      </c>
      <c r="J391" s="5"/>
    </row>
    <row r="392" spans="1:10">
      <c r="A392" s="31">
        <v>10</v>
      </c>
      <c r="B392" s="8" t="s">
        <v>279</v>
      </c>
      <c r="C392" s="6" t="s">
        <v>283</v>
      </c>
      <c r="D392" s="8" t="s">
        <v>284</v>
      </c>
      <c r="E392" s="8">
        <v>21</v>
      </c>
      <c r="F392" s="20">
        <f t="shared" si="11"/>
        <v>16.5</v>
      </c>
      <c r="G392" s="20">
        <f>E392-F392</f>
        <v>4.5</v>
      </c>
      <c r="H392" s="8">
        <v>21</v>
      </c>
      <c r="J392" s="5" t="s">
        <v>285</v>
      </c>
    </row>
    <row r="393" spans="1:10">
      <c r="A393" s="31">
        <v>10</v>
      </c>
      <c r="B393" s="8" t="s">
        <v>279</v>
      </c>
      <c r="C393" s="6" t="s">
        <v>283</v>
      </c>
      <c r="D393" s="8" t="s">
        <v>286</v>
      </c>
      <c r="E393" s="8">
        <v>19</v>
      </c>
      <c r="F393" s="20">
        <f t="shared" si="11"/>
        <v>16.5</v>
      </c>
      <c r="G393" s="20">
        <f>E393-F393</f>
        <v>2.5</v>
      </c>
      <c r="H393" s="8">
        <v>28</v>
      </c>
      <c r="J393" s="5"/>
    </row>
    <row r="394" spans="1:10">
      <c r="A394" s="31">
        <v>10</v>
      </c>
      <c r="B394" s="8" t="s">
        <v>279</v>
      </c>
      <c r="C394" s="8" t="s">
        <v>287</v>
      </c>
      <c r="D394" s="8" t="s">
        <v>288</v>
      </c>
      <c r="E394" s="8">
        <v>11</v>
      </c>
      <c r="F394" s="20">
        <f>AVERAGE(E$394:E$396)</f>
        <v>29</v>
      </c>
      <c r="G394" s="20">
        <f>E394-F394</f>
        <v>-18</v>
      </c>
      <c r="H394" s="8">
        <v>59</v>
      </c>
      <c r="J394" s="5"/>
    </row>
    <row r="395" spans="1:10">
      <c r="A395" s="31">
        <v>10</v>
      </c>
      <c r="B395" s="8" t="s">
        <v>279</v>
      </c>
      <c r="C395" s="8" t="s">
        <v>289</v>
      </c>
      <c r="D395" s="8" t="s">
        <v>290</v>
      </c>
      <c r="E395" s="8">
        <v>72</v>
      </c>
      <c r="F395" s="20">
        <f t="shared" ref="F395:F396" si="12">AVERAGE(E$394:E$396)</f>
        <v>29</v>
      </c>
      <c r="G395" s="20">
        <f>E395-F395</f>
        <v>43</v>
      </c>
      <c r="H395" s="8">
        <v>241</v>
      </c>
      <c r="J395" s="5"/>
    </row>
    <row r="396" spans="1:10">
      <c r="A396" s="31">
        <v>10</v>
      </c>
      <c r="B396" s="8" t="s">
        <v>279</v>
      </c>
      <c r="C396" s="6" t="s">
        <v>291</v>
      </c>
      <c r="D396" s="8" t="s">
        <v>292</v>
      </c>
      <c r="E396" s="8">
        <v>4</v>
      </c>
      <c r="F396" s="20">
        <f t="shared" si="12"/>
        <v>29</v>
      </c>
      <c r="G396" s="20">
        <f>E396-F396</f>
        <v>-25</v>
      </c>
      <c r="H396" s="8">
        <v>77</v>
      </c>
      <c r="J396" s="5"/>
    </row>
    <row r="397" spans="1:10">
      <c r="A397" s="31">
        <v>10</v>
      </c>
      <c r="B397" s="8" t="s">
        <v>279</v>
      </c>
      <c r="C397" s="6" t="s">
        <v>293</v>
      </c>
      <c r="D397" s="8" t="s">
        <v>294</v>
      </c>
      <c r="E397" s="8">
        <v>93</v>
      </c>
      <c r="F397" s="20">
        <f>AVERAGE(E$397:E$398)</f>
        <v>76.5</v>
      </c>
      <c r="G397" s="20">
        <f>E397-F397</f>
        <v>16.5</v>
      </c>
      <c r="H397" s="8">
        <v>86</v>
      </c>
      <c r="J397" s="5"/>
    </row>
    <row r="398" spans="1:10">
      <c r="A398" s="31">
        <v>10</v>
      </c>
      <c r="B398" s="8" t="s">
        <v>279</v>
      </c>
      <c r="C398" s="6" t="s">
        <v>282</v>
      </c>
      <c r="D398" s="8" t="s">
        <v>294</v>
      </c>
      <c r="E398" s="8">
        <v>60</v>
      </c>
      <c r="F398" s="20">
        <f>AVERAGE(E$397:E$398)</f>
        <v>76.5</v>
      </c>
      <c r="G398" s="20">
        <f>E398-F398</f>
        <v>-16.5</v>
      </c>
      <c r="H398" s="8">
        <v>59</v>
      </c>
      <c r="J398" s="5"/>
    </row>
    <row r="399" spans="1:10">
      <c r="A399" s="31">
        <v>10</v>
      </c>
      <c r="B399" s="8" t="s">
        <v>279</v>
      </c>
      <c r="C399" s="6" t="s">
        <v>295</v>
      </c>
      <c r="D399" s="8" t="s">
        <v>296</v>
      </c>
      <c r="E399" s="8">
        <v>55</v>
      </c>
      <c r="F399" s="20">
        <f>AVERAGE(E$399:E$400)</f>
        <v>49</v>
      </c>
      <c r="G399" s="20">
        <f>E399-F399</f>
        <v>6</v>
      </c>
      <c r="H399" s="8">
        <v>20</v>
      </c>
      <c r="J399" s="5"/>
    </row>
    <row r="400" spans="1:10">
      <c r="A400" s="31">
        <v>10</v>
      </c>
      <c r="B400" s="8" t="s">
        <v>279</v>
      </c>
      <c r="C400" s="6" t="s">
        <v>295</v>
      </c>
      <c r="D400" s="8" t="s">
        <v>296</v>
      </c>
      <c r="E400" s="8">
        <v>43</v>
      </c>
      <c r="F400" s="20">
        <f>AVERAGE(E$399:E$400)</f>
        <v>49</v>
      </c>
      <c r="G400" s="20">
        <f>E400-F400</f>
        <v>-6</v>
      </c>
      <c r="H400" s="8">
        <v>41</v>
      </c>
      <c r="I400" s="8" t="s">
        <v>297</v>
      </c>
      <c r="J400" s="5"/>
    </row>
    <row r="401" spans="1:10">
      <c r="A401" s="31">
        <v>10</v>
      </c>
      <c r="B401" s="8" t="s">
        <v>279</v>
      </c>
      <c r="C401" s="6" t="s">
        <v>298</v>
      </c>
      <c r="D401" s="8" t="s">
        <v>299</v>
      </c>
      <c r="E401" s="8">
        <v>0</v>
      </c>
      <c r="F401" s="20"/>
      <c r="G401" s="20">
        <f>E401-F401</f>
        <v>0</v>
      </c>
      <c r="H401" s="8">
        <v>53</v>
      </c>
      <c r="J401" s="5"/>
    </row>
    <row r="402" spans="1:10">
      <c r="A402" s="31">
        <v>10</v>
      </c>
      <c r="B402" s="8" t="s">
        <v>279</v>
      </c>
      <c r="C402" s="6" t="s">
        <v>300</v>
      </c>
      <c r="D402" s="8" t="s">
        <v>301</v>
      </c>
      <c r="E402" s="8">
        <v>28</v>
      </c>
      <c r="F402" s="20">
        <f>AVERAGE(E$402:E$408)</f>
        <v>28.428571428571427</v>
      </c>
      <c r="G402" s="20">
        <f>E402-F402</f>
        <v>-0.42857142857142705</v>
      </c>
      <c r="H402" s="8">
        <v>51</v>
      </c>
      <c r="J402" s="5"/>
    </row>
    <row r="403" spans="1:10">
      <c r="A403" s="31">
        <v>10</v>
      </c>
      <c r="B403" s="8" t="s">
        <v>279</v>
      </c>
      <c r="C403" s="6" t="s">
        <v>295</v>
      </c>
      <c r="D403" s="8" t="s">
        <v>301</v>
      </c>
      <c r="E403" s="8">
        <v>41</v>
      </c>
      <c r="F403" s="20">
        <f t="shared" ref="F403:F408" si="13">AVERAGE(E$402:E$408)</f>
        <v>28.428571428571427</v>
      </c>
      <c r="G403" s="20">
        <f>E403-F403</f>
        <v>12.571428571428573</v>
      </c>
      <c r="H403" s="8">
        <v>87</v>
      </c>
      <c r="J403" s="5"/>
    </row>
    <row r="404" spans="1:10">
      <c r="A404" s="31">
        <v>10</v>
      </c>
      <c r="B404" s="8" t="s">
        <v>279</v>
      </c>
      <c r="C404" s="6" t="s">
        <v>302</v>
      </c>
      <c r="D404" s="8" t="s">
        <v>301</v>
      </c>
      <c r="E404" s="8">
        <v>36</v>
      </c>
      <c r="F404" s="20">
        <f t="shared" si="13"/>
        <v>28.428571428571427</v>
      </c>
      <c r="G404" s="20">
        <f>E404-F404</f>
        <v>7.571428571428573</v>
      </c>
      <c r="H404" s="8">
        <v>10</v>
      </c>
      <c r="J404" s="5"/>
    </row>
    <row r="405" spans="1:10">
      <c r="A405" s="31">
        <v>10</v>
      </c>
      <c r="B405" s="8" t="s">
        <v>279</v>
      </c>
      <c r="C405" s="8" t="s">
        <v>303</v>
      </c>
      <c r="D405" s="8" t="s">
        <v>301</v>
      </c>
      <c r="E405" s="8">
        <v>26</v>
      </c>
      <c r="F405" s="20">
        <f t="shared" si="13"/>
        <v>28.428571428571427</v>
      </c>
      <c r="G405" s="20">
        <f>E405-F405</f>
        <v>-2.428571428571427</v>
      </c>
      <c r="H405" s="8">
        <v>36</v>
      </c>
      <c r="J405" s="5"/>
    </row>
    <row r="406" spans="1:10">
      <c r="A406" s="31">
        <v>10</v>
      </c>
      <c r="B406" s="8" t="s">
        <v>279</v>
      </c>
      <c r="C406" s="6" t="s">
        <v>304</v>
      </c>
      <c r="D406" s="8" t="s">
        <v>305</v>
      </c>
      <c r="E406" s="8">
        <v>15</v>
      </c>
      <c r="F406" s="20">
        <f t="shared" si="13"/>
        <v>28.428571428571427</v>
      </c>
      <c r="G406" s="20">
        <f>E406-F406</f>
        <v>-13.428571428571427</v>
      </c>
      <c r="H406" s="8">
        <v>13</v>
      </c>
      <c r="J406" s="5"/>
    </row>
    <row r="407" spans="1:10">
      <c r="A407" s="31">
        <v>10</v>
      </c>
      <c r="B407" s="8" t="s">
        <v>279</v>
      </c>
      <c r="C407" s="6" t="s">
        <v>302</v>
      </c>
      <c r="D407" s="8" t="s">
        <v>305</v>
      </c>
      <c r="E407" s="8">
        <v>50</v>
      </c>
      <c r="F407" s="20">
        <f t="shared" si="13"/>
        <v>28.428571428571427</v>
      </c>
      <c r="G407" s="20">
        <f>E407-F407</f>
        <v>21.571428571428573</v>
      </c>
      <c r="H407" s="8">
        <v>16</v>
      </c>
      <c r="J407" s="5"/>
    </row>
    <row r="408" spans="1:10">
      <c r="A408" s="31">
        <v>10</v>
      </c>
      <c r="B408" s="8" t="s">
        <v>279</v>
      </c>
      <c r="C408" s="6" t="s">
        <v>306</v>
      </c>
      <c r="D408" s="8" t="s">
        <v>305</v>
      </c>
      <c r="E408" s="8">
        <v>3</v>
      </c>
      <c r="F408" s="20">
        <f t="shared" si="13"/>
        <v>28.428571428571427</v>
      </c>
      <c r="G408" s="20">
        <f>E408-F408</f>
        <v>-25.428571428571427</v>
      </c>
      <c r="H408" s="8">
        <v>31</v>
      </c>
      <c r="J408" s="5"/>
    </row>
    <row r="409" spans="1:10">
      <c r="A409" s="31">
        <v>10</v>
      </c>
      <c r="B409" s="8" t="s">
        <v>279</v>
      </c>
      <c r="C409" s="8" t="s">
        <v>307</v>
      </c>
      <c r="D409" s="8" t="s">
        <v>308</v>
      </c>
      <c r="E409" s="8">
        <v>44</v>
      </c>
      <c r="F409" s="20"/>
      <c r="G409" s="20">
        <f>E409-F409</f>
        <v>44</v>
      </c>
      <c r="H409" s="8">
        <v>147</v>
      </c>
      <c r="J409" s="5"/>
    </row>
    <row r="410" spans="1:10">
      <c r="A410" s="31">
        <v>10</v>
      </c>
      <c r="B410" s="8" t="s">
        <v>279</v>
      </c>
      <c r="C410" s="6" t="s">
        <v>309</v>
      </c>
      <c r="D410" s="8" t="s">
        <v>310</v>
      </c>
      <c r="E410" s="8">
        <v>0</v>
      </c>
      <c r="F410" s="20">
        <f>AVERAGE(E$410:E$414)</f>
        <v>29.4</v>
      </c>
      <c r="G410" s="20">
        <f>E410-F410</f>
        <v>-29.4</v>
      </c>
      <c r="H410" s="8">
        <v>59</v>
      </c>
      <c r="J410" s="5"/>
    </row>
    <row r="411" spans="1:10">
      <c r="A411" s="31">
        <v>10</v>
      </c>
      <c r="B411" s="8" t="s">
        <v>279</v>
      </c>
      <c r="C411" s="6" t="s">
        <v>311</v>
      </c>
      <c r="D411" s="8" t="s">
        <v>310</v>
      </c>
      <c r="E411" s="8">
        <v>78</v>
      </c>
      <c r="F411" s="20">
        <f t="shared" ref="F411:F414" si="14">AVERAGE(E$410:E$414)</f>
        <v>29.4</v>
      </c>
      <c r="G411" s="20">
        <f>E411-F411</f>
        <v>48.6</v>
      </c>
      <c r="H411" s="8">
        <v>59</v>
      </c>
      <c r="J411" s="5"/>
    </row>
    <row r="412" spans="1:10">
      <c r="A412" s="31">
        <v>10</v>
      </c>
      <c r="B412" s="8" t="s">
        <v>279</v>
      </c>
      <c r="C412" s="6" t="s">
        <v>282</v>
      </c>
      <c r="D412" s="8" t="s">
        <v>310</v>
      </c>
      <c r="E412" s="8">
        <v>8</v>
      </c>
      <c r="F412" s="20">
        <f t="shared" si="14"/>
        <v>29.4</v>
      </c>
      <c r="G412" s="20">
        <f>E412-F412</f>
        <v>-21.4</v>
      </c>
      <c r="H412" s="8">
        <v>59</v>
      </c>
      <c r="J412" s="5"/>
    </row>
    <row r="413" spans="1:10">
      <c r="A413" s="31">
        <v>10</v>
      </c>
      <c r="B413" s="8" t="s">
        <v>279</v>
      </c>
      <c r="C413" s="6" t="s">
        <v>282</v>
      </c>
      <c r="D413" s="8" t="s">
        <v>312</v>
      </c>
      <c r="E413" s="8">
        <v>11</v>
      </c>
      <c r="F413" s="20">
        <f t="shared" si="14"/>
        <v>29.4</v>
      </c>
      <c r="G413" s="20">
        <f>E413-F413</f>
        <v>-18.399999999999999</v>
      </c>
      <c r="H413" s="8">
        <v>59</v>
      </c>
      <c r="J413" s="5"/>
    </row>
    <row r="414" spans="1:10">
      <c r="A414" s="31">
        <v>10</v>
      </c>
      <c r="B414" s="8" t="s">
        <v>279</v>
      </c>
      <c r="C414" s="6" t="s">
        <v>313</v>
      </c>
      <c r="D414" s="8" t="s">
        <v>314</v>
      </c>
      <c r="E414" s="8">
        <v>50</v>
      </c>
      <c r="F414" s="20">
        <f t="shared" si="14"/>
        <v>29.4</v>
      </c>
      <c r="G414" s="20">
        <f>E414-F414</f>
        <v>20.6</v>
      </c>
      <c r="H414" s="8">
        <v>109</v>
      </c>
      <c r="J414" s="5"/>
    </row>
    <row r="415" spans="1:10">
      <c r="A415" s="31">
        <v>10</v>
      </c>
      <c r="B415" s="8" t="s">
        <v>279</v>
      </c>
      <c r="C415" s="8" t="s">
        <v>315</v>
      </c>
      <c r="D415" s="8" t="s">
        <v>316</v>
      </c>
      <c r="E415" s="8">
        <v>1</v>
      </c>
      <c r="F415" s="20">
        <f>AVERAGE(E$415:E$416)</f>
        <v>8.5</v>
      </c>
      <c r="G415" s="20">
        <f>E415-F415</f>
        <v>-7.5</v>
      </c>
      <c r="H415" s="8">
        <v>59</v>
      </c>
      <c r="J415" s="5"/>
    </row>
    <row r="416" spans="1:10">
      <c r="A416" s="31">
        <v>10</v>
      </c>
      <c r="B416" s="8" t="s">
        <v>279</v>
      </c>
      <c r="C416" s="8" t="s">
        <v>317</v>
      </c>
      <c r="D416" s="8" t="s">
        <v>318</v>
      </c>
      <c r="E416" s="8">
        <v>16</v>
      </c>
      <c r="F416" s="20">
        <f>AVERAGE(E$415:E$416)</f>
        <v>8.5</v>
      </c>
      <c r="G416" s="20">
        <f>E416-F416</f>
        <v>7.5</v>
      </c>
      <c r="H416" s="8">
        <v>59</v>
      </c>
      <c r="J416" s="5"/>
    </row>
    <row r="417" spans="1:10">
      <c r="A417" s="31">
        <v>10</v>
      </c>
      <c r="B417" s="8" t="s">
        <v>279</v>
      </c>
      <c r="C417" s="6" t="s">
        <v>282</v>
      </c>
      <c r="D417" s="8" t="s">
        <v>319</v>
      </c>
      <c r="E417" s="8">
        <v>0</v>
      </c>
      <c r="F417" s="20">
        <f>AVERAGE(E$417:E$423)</f>
        <v>13.857142857142858</v>
      </c>
      <c r="G417" s="20">
        <f>E417-F417</f>
        <v>-13.857142857142858</v>
      </c>
      <c r="H417" s="8">
        <v>59</v>
      </c>
      <c r="J417" s="5"/>
    </row>
    <row r="418" spans="1:10">
      <c r="A418" s="31">
        <v>10</v>
      </c>
      <c r="B418" s="8" t="s">
        <v>279</v>
      </c>
      <c r="C418" s="8" t="s">
        <v>320</v>
      </c>
      <c r="D418" s="8" t="s">
        <v>319</v>
      </c>
      <c r="E418" s="8">
        <v>10</v>
      </c>
      <c r="F418" s="20">
        <f t="shared" ref="F418:F423" si="15">AVERAGE(E$417:E$423)</f>
        <v>13.857142857142858</v>
      </c>
      <c r="G418" s="20">
        <f>E418-F418</f>
        <v>-3.8571428571428577</v>
      </c>
      <c r="H418" s="8">
        <v>21</v>
      </c>
      <c r="J418" s="5"/>
    </row>
    <row r="419" spans="1:10">
      <c r="A419" s="31">
        <v>10</v>
      </c>
      <c r="B419" s="8" t="s">
        <v>279</v>
      </c>
      <c r="C419" s="8" t="s">
        <v>321</v>
      </c>
      <c r="D419" s="8" t="s">
        <v>322</v>
      </c>
      <c r="E419" s="8">
        <v>10</v>
      </c>
      <c r="F419" s="20">
        <f t="shared" si="15"/>
        <v>13.857142857142858</v>
      </c>
      <c r="G419" s="20">
        <f>E419-F419</f>
        <v>-3.8571428571428577</v>
      </c>
      <c r="H419" s="8">
        <v>59</v>
      </c>
      <c r="J419" s="5"/>
    </row>
    <row r="420" spans="1:10">
      <c r="A420" s="31">
        <v>10</v>
      </c>
      <c r="B420" s="8" t="s">
        <v>279</v>
      </c>
      <c r="C420" s="8" t="s">
        <v>289</v>
      </c>
      <c r="D420" s="8" t="s">
        <v>323</v>
      </c>
      <c r="E420" s="8">
        <v>27</v>
      </c>
      <c r="F420" s="20">
        <f t="shared" si="15"/>
        <v>13.857142857142858</v>
      </c>
      <c r="G420" s="20">
        <f>E420-F420</f>
        <v>13.142857142857142</v>
      </c>
      <c r="H420" s="8">
        <v>59</v>
      </c>
      <c r="J420" s="5"/>
    </row>
    <row r="421" spans="1:10">
      <c r="A421" s="31">
        <v>10</v>
      </c>
      <c r="B421" s="8" t="s">
        <v>279</v>
      </c>
      <c r="C421" s="8" t="s">
        <v>321</v>
      </c>
      <c r="D421" s="8" t="s">
        <v>323</v>
      </c>
      <c r="E421" s="8">
        <v>38</v>
      </c>
      <c r="F421" s="20">
        <f t="shared" si="15"/>
        <v>13.857142857142858</v>
      </c>
      <c r="G421" s="20">
        <f>E421-F421</f>
        <v>24.142857142857142</v>
      </c>
      <c r="H421" s="8">
        <v>59</v>
      </c>
      <c r="J421" s="5"/>
    </row>
    <row r="422" spans="1:10">
      <c r="A422" s="31">
        <v>10</v>
      </c>
      <c r="B422" s="8" t="s">
        <v>279</v>
      </c>
      <c r="C422" s="6" t="s">
        <v>302</v>
      </c>
      <c r="D422" s="8" t="s">
        <v>324</v>
      </c>
      <c r="E422" s="8">
        <v>5</v>
      </c>
      <c r="F422" s="20">
        <f t="shared" si="15"/>
        <v>13.857142857142858</v>
      </c>
      <c r="G422" s="20">
        <f>E422-F422</f>
        <v>-8.8571428571428577</v>
      </c>
      <c r="H422" s="8">
        <v>21</v>
      </c>
      <c r="J422" s="5"/>
    </row>
    <row r="423" spans="1:10">
      <c r="A423" s="31">
        <v>10</v>
      </c>
      <c r="B423" s="8" t="s">
        <v>279</v>
      </c>
      <c r="C423" s="6" t="s">
        <v>306</v>
      </c>
      <c r="D423" s="8" t="s">
        <v>324</v>
      </c>
      <c r="E423" s="8">
        <v>7</v>
      </c>
      <c r="F423" s="20">
        <f t="shared" si="15"/>
        <v>13.857142857142858</v>
      </c>
      <c r="G423" s="20">
        <f>E423-F423</f>
        <v>-6.8571428571428577</v>
      </c>
      <c r="H423" s="8">
        <v>27</v>
      </c>
      <c r="J423" s="5"/>
    </row>
    <row r="424" spans="1:10" s="13" customFormat="1">
      <c r="A424" s="9">
        <v>11</v>
      </c>
      <c r="B424" s="9" t="s">
        <v>325</v>
      </c>
      <c r="C424" s="9" t="s">
        <v>326</v>
      </c>
      <c r="D424" s="9">
        <v>1</v>
      </c>
      <c r="E424" s="9">
        <v>5</v>
      </c>
      <c r="F424" s="9">
        <f>AVERAGE(E$424:E$431)</f>
        <v>23.35</v>
      </c>
      <c r="G424" s="27">
        <f>E424-F424</f>
        <v>-18.350000000000001</v>
      </c>
      <c r="H424" s="9">
        <v>100</v>
      </c>
      <c r="I424" s="9"/>
      <c r="J424" s="22" t="s">
        <v>327</v>
      </c>
    </row>
    <row r="425" spans="1:10">
      <c r="A425" s="8">
        <v>11</v>
      </c>
      <c r="B425" s="8" t="s">
        <v>325</v>
      </c>
      <c r="C425" s="6" t="s">
        <v>328</v>
      </c>
      <c r="D425" s="8">
        <v>1</v>
      </c>
      <c r="E425" s="8">
        <v>61</v>
      </c>
      <c r="F425" s="8">
        <f t="shared" ref="F425:F431" si="16">AVERAGE(E$424:E$431)</f>
        <v>23.35</v>
      </c>
      <c r="G425" s="20">
        <f>E425-F425</f>
        <v>37.65</v>
      </c>
      <c r="H425" s="9">
        <v>100</v>
      </c>
      <c r="J425" s="8"/>
    </row>
    <row r="426" spans="1:10">
      <c r="A426" s="8">
        <v>11</v>
      </c>
      <c r="B426" s="8" t="s">
        <v>325</v>
      </c>
      <c r="C426" s="6" t="s">
        <v>328</v>
      </c>
      <c r="D426" s="8">
        <v>1</v>
      </c>
      <c r="E426" s="8">
        <v>6.9</v>
      </c>
      <c r="F426" s="8">
        <f t="shared" si="16"/>
        <v>23.35</v>
      </c>
      <c r="G426" s="20">
        <f>E426-F426</f>
        <v>-16.450000000000003</v>
      </c>
      <c r="H426" s="9">
        <v>100</v>
      </c>
      <c r="I426" s="8" t="s">
        <v>329</v>
      </c>
      <c r="J426" s="5"/>
    </row>
    <row r="427" spans="1:10">
      <c r="A427" s="8">
        <v>11</v>
      </c>
      <c r="B427" s="8" t="s">
        <v>325</v>
      </c>
      <c r="C427" s="6" t="s">
        <v>330</v>
      </c>
      <c r="D427" s="8">
        <v>1</v>
      </c>
      <c r="E427" s="8">
        <v>7.9</v>
      </c>
      <c r="F427" s="8">
        <f t="shared" si="16"/>
        <v>23.35</v>
      </c>
      <c r="G427" s="20">
        <f>E427-F427</f>
        <v>-15.450000000000001</v>
      </c>
      <c r="H427" s="9">
        <v>100</v>
      </c>
      <c r="J427" s="5"/>
    </row>
    <row r="428" spans="1:10">
      <c r="A428" s="8">
        <v>11</v>
      </c>
      <c r="B428" s="8" t="s">
        <v>325</v>
      </c>
      <c r="C428" s="6" t="s">
        <v>331</v>
      </c>
      <c r="D428" s="8">
        <v>1</v>
      </c>
      <c r="E428" s="8">
        <v>6</v>
      </c>
      <c r="F428" s="8">
        <f t="shared" si="16"/>
        <v>23.35</v>
      </c>
      <c r="G428" s="20">
        <f>E428-F428</f>
        <v>-17.350000000000001</v>
      </c>
      <c r="H428" s="9">
        <v>100</v>
      </c>
      <c r="J428" s="5"/>
    </row>
    <row r="429" spans="1:10">
      <c r="A429" s="8">
        <v>11</v>
      </c>
      <c r="B429" s="8" t="s">
        <v>325</v>
      </c>
      <c r="C429" s="6" t="s">
        <v>332</v>
      </c>
      <c r="D429" s="8">
        <v>1</v>
      </c>
      <c r="E429" s="8">
        <v>35</v>
      </c>
      <c r="F429" s="8">
        <f t="shared" si="16"/>
        <v>23.35</v>
      </c>
      <c r="G429" s="20">
        <f>E429-F429</f>
        <v>11.649999999999999</v>
      </c>
      <c r="H429" s="9">
        <v>100</v>
      </c>
      <c r="J429" s="5"/>
    </row>
    <row r="430" spans="1:10">
      <c r="A430" s="8">
        <v>11</v>
      </c>
      <c r="B430" s="8" t="s">
        <v>325</v>
      </c>
      <c r="C430" s="8" t="s">
        <v>333</v>
      </c>
      <c r="D430" s="8">
        <v>1</v>
      </c>
      <c r="E430" s="8">
        <v>24</v>
      </c>
      <c r="F430" s="8">
        <f t="shared" si="16"/>
        <v>23.35</v>
      </c>
      <c r="G430" s="20">
        <f>E430-F430</f>
        <v>0.64999999999999858</v>
      </c>
      <c r="H430" s="9">
        <v>100</v>
      </c>
      <c r="J430" s="5"/>
    </row>
    <row r="431" spans="1:10">
      <c r="A431" s="8">
        <v>11</v>
      </c>
      <c r="B431" s="8" t="s">
        <v>325</v>
      </c>
      <c r="C431" s="8" t="s">
        <v>334</v>
      </c>
      <c r="D431" s="8">
        <v>1</v>
      </c>
      <c r="E431" s="8">
        <v>41</v>
      </c>
      <c r="F431" s="8">
        <f t="shared" si="16"/>
        <v>23.35</v>
      </c>
      <c r="G431" s="20">
        <f>E431-F431</f>
        <v>17.649999999999999</v>
      </c>
      <c r="H431" s="9">
        <v>100</v>
      </c>
      <c r="J431" s="5"/>
    </row>
    <row r="432" spans="1:10" s="13" customFormat="1">
      <c r="A432" s="9">
        <v>12</v>
      </c>
      <c r="B432" s="9" t="s">
        <v>335</v>
      </c>
      <c r="C432" s="9" t="s">
        <v>336</v>
      </c>
      <c r="D432" s="9">
        <v>1</v>
      </c>
      <c r="E432" s="9">
        <v>0</v>
      </c>
      <c r="F432" s="27">
        <f>AVERAGE(E$432:E$458)</f>
        <v>5.0333333333333323</v>
      </c>
      <c r="G432" s="27">
        <f>E432-F432</f>
        <v>-5.0333333333333323</v>
      </c>
      <c r="H432" s="9">
        <v>1</v>
      </c>
      <c r="I432" s="9" t="s">
        <v>337</v>
      </c>
      <c r="J432" s="22"/>
    </row>
    <row r="433" spans="1:10">
      <c r="A433" s="8">
        <v>12</v>
      </c>
      <c r="B433" s="8" t="s">
        <v>335</v>
      </c>
      <c r="C433" s="6" t="s">
        <v>338</v>
      </c>
      <c r="D433" s="8">
        <v>1</v>
      </c>
      <c r="E433" s="8">
        <v>0</v>
      </c>
      <c r="F433" s="20">
        <f t="shared" ref="F433:F458" si="17">AVERAGE(E$432:E$458)</f>
        <v>5.0333333333333323</v>
      </c>
      <c r="G433" s="20">
        <f>E433-F433</f>
        <v>-5.0333333333333323</v>
      </c>
      <c r="H433" s="8">
        <v>1</v>
      </c>
      <c r="J433" s="5"/>
    </row>
    <row r="434" spans="1:10">
      <c r="A434" s="8">
        <v>12</v>
      </c>
      <c r="B434" s="8" t="s">
        <v>335</v>
      </c>
      <c r="C434" s="6" t="s">
        <v>339</v>
      </c>
      <c r="D434" s="8">
        <v>1</v>
      </c>
      <c r="E434" s="8">
        <v>0</v>
      </c>
      <c r="F434" s="20">
        <f t="shared" si="17"/>
        <v>5.0333333333333323</v>
      </c>
      <c r="G434" s="20">
        <f>E434-F434</f>
        <v>-5.0333333333333323</v>
      </c>
      <c r="H434" s="8">
        <v>2</v>
      </c>
      <c r="J434" s="5"/>
    </row>
    <row r="435" spans="1:10">
      <c r="A435" s="8">
        <v>12</v>
      </c>
      <c r="B435" s="8" t="s">
        <v>335</v>
      </c>
      <c r="C435" s="6" t="s">
        <v>340</v>
      </c>
      <c r="D435" s="8">
        <v>1</v>
      </c>
      <c r="E435" s="8">
        <v>0</v>
      </c>
      <c r="F435" s="20">
        <f t="shared" si="17"/>
        <v>5.0333333333333323</v>
      </c>
      <c r="G435" s="20">
        <f>E435-F435</f>
        <v>-5.0333333333333323</v>
      </c>
      <c r="H435" s="8">
        <v>2</v>
      </c>
      <c r="J435" s="5"/>
    </row>
    <row r="436" spans="1:10">
      <c r="A436" s="8">
        <v>12</v>
      </c>
      <c r="B436" s="8" t="s">
        <v>335</v>
      </c>
      <c r="C436" s="6" t="s">
        <v>341</v>
      </c>
      <c r="D436" s="8">
        <v>1</v>
      </c>
      <c r="E436" s="8">
        <v>33.299999999999997</v>
      </c>
      <c r="F436" s="20">
        <f t="shared" si="17"/>
        <v>5.0333333333333323</v>
      </c>
      <c r="G436" s="20">
        <f>E436-F436</f>
        <v>28.266666666666666</v>
      </c>
      <c r="H436" s="8">
        <v>3</v>
      </c>
      <c r="J436" s="5"/>
    </row>
    <row r="437" spans="1:10">
      <c r="A437" s="8">
        <v>12</v>
      </c>
      <c r="B437" s="8" t="s">
        <v>335</v>
      </c>
      <c r="C437" s="6" t="s">
        <v>342</v>
      </c>
      <c r="D437" s="8">
        <v>1</v>
      </c>
      <c r="E437" s="8">
        <v>16.7</v>
      </c>
      <c r="F437" s="20">
        <f t="shared" si="17"/>
        <v>5.0333333333333323</v>
      </c>
      <c r="G437" s="20">
        <f>E437-F437</f>
        <v>11.666666666666668</v>
      </c>
      <c r="H437" s="8">
        <v>6</v>
      </c>
      <c r="J437" s="5"/>
    </row>
    <row r="438" spans="1:10">
      <c r="A438" s="8">
        <v>12</v>
      </c>
      <c r="B438" s="8" t="s">
        <v>335</v>
      </c>
      <c r="C438" s="6" t="s">
        <v>343</v>
      </c>
      <c r="D438" s="8">
        <v>1</v>
      </c>
      <c r="E438" s="8">
        <v>0</v>
      </c>
      <c r="F438" s="20">
        <f t="shared" si="17"/>
        <v>5.0333333333333323</v>
      </c>
      <c r="G438" s="20">
        <f>E438-F438</f>
        <v>-5.0333333333333323</v>
      </c>
      <c r="H438" s="8">
        <v>6</v>
      </c>
      <c r="J438" s="5"/>
    </row>
    <row r="439" spans="1:10">
      <c r="A439" s="8">
        <v>12</v>
      </c>
      <c r="B439" s="8" t="s">
        <v>335</v>
      </c>
      <c r="C439" s="6" t="s">
        <v>344</v>
      </c>
      <c r="D439" s="8">
        <v>1</v>
      </c>
      <c r="E439" s="8">
        <v>5.9</v>
      </c>
      <c r="F439" s="20">
        <f t="shared" si="17"/>
        <v>5.0333333333333323</v>
      </c>
      <c r="G439" s="20">
        <f>E439-F439</f>
        <v>0.86666666666666803</v>
      </c>
      <c r="H439" s="8">
        <v>17</v>
      </c>
      <c r="J439" s="5"/>
    </row>
    <row r="440" spans="1:10">
      <c r="A440" s="8">
        <v>12</v>
      </c>
      <c r="B440" s="8" t="s">
        <v>335</v>
      </c>
      <c r="C440" s="6" t="s">
        <v>345</v>
      </c>
      <c r="D440" s="8">
        <v>1</v>
      </c>
      <c r="E440" s="8">
        <v>0</v>
      </c>
      <c r="F440" s="20">
        <f t="shared" si="17"/>
        <v>5.0333333333333323</v>
      </c>
      <c r="G440" s="20">
        <f>E440-F440</f>
        <v>-5.0333333333333323</v>
      </c>
      <c r="H440" s="8">
        <v>1</v>
      </c>
      <c r="J440" s="5"/>
    </row>
    <row r="441" spans="1:10">
      <c r="A441" s="8">
        <v>12</v>
      </c>
      <c r="B441" s="8" t="s">
        <v>335</v>
      </c>
      <c r="C441" s="6" t="s">
        <v>346</v>
      </c>
      <c r="D441" s="8">
        <v>1</v>
      </c>
      <c r="E441" s="8">
        <v>0</v>
      </c>
      <c r="F441" s="20">
        <f t="shared" si="17"/>
        <v>5.0333333333333323</v>
      </c>
      <c r="G441" s="20">
        <f>E441-F441</f>
        <v>-5.0333333333333323</v>
      </c>
      <c r="H441" s="8">
        <v>2</v>
      </c>
      <c r="J441" s="5"/>
    </row>
    <row r="442" spans="1:10">
      <c r="A442" s="8">
        <v>12</v>
      </c>
      <c r="B442" s="8" t="s">
        <v>335</v>
      </c>
      <c r="C442" s="6" t="s">
        <v>347</v>
      </c>
      <c r="D442" s="8">
        <v>1</v>
      </c>
      <c r="E442" s="8">
        <v>1.8</v>
      </c>
      <c r="F442" s="20">
        <f t="shared" si="17"/>
        <v>5.0333333333333323</v>
      </c>
      <c r="G442" s="20">
        <f>E442-F442</f>
        <v>-3.2333333333333325</v>
      </c>
      <c r="H442" s="8">
        <v>109</v>
      </c>
      <c r="J442" s="5"/>
    </row>
    <row r="443" spans="1:10">
      <c r="A443" s="8">
        <v>12</v>
      </c>
      <c r="B443" s="8" t="s">
        <v>335</v>
      </c>
      <c r="C443" s="6" t="s">
        <v>348</v>
      </c>
      <c r="D443" s="8">
        <v>1</v>
      </c>
      <c r="E443" s="8">
        <v>18.2</v>
      </c>
      <c r="F443" s="20">
        <f t="shared" si="17"/>
        <v>5.0333333333333323</v>
      </c>
      <c r="G443" s="20">
        <f>E443-F443</f>
        <v>13.166666666666668</v>
      </c>
      <c r="H443" s="8">
        <v>11</v>
      </c>
      <c r="J443" s="5"/>
    </row>
    <row r="444" spans="1:10">
      <c r="A444" s="8">
        <v>12</v>
      </c>
      <c r="B444" s="8" t="s">
        <v>335</v>
      </c>
      <c r="C444" s="6" t="s">
        <v>349</v>
      </c>
      <c r="D444" s="8">
        <v>1</v>
      </c>
      <c r="E444" s="8">
        <v>0</v>
      </c>
      <c r="F444" s="20">
        <f t="shared" si="17"/>
        <v>5.0333333333333323</v>
      </c>
      <c r="G444" s="20">
        <f>E444-F444</f>
        <v>-5.0333333333333323</v>
      </c>
      <c r="H444" s="8">
        <v>1</v>
      </c>
      <c r="J444" s="5"/>
    </row>
    <row r="445" spans="1:10">
      <c r="A445" s="8">
        <v>12</v>
      </c>
      <c r="B445" s="8" t="s">
        <v>335</v>
      </c>
      <c r="C445" s="6" t="s">
        <v>350</v>
      </c>
      <c r="D445" s="8">
        <v>1</v>
      </c>
      <c r="E445" s="8">
        <v>0</v>
      </c>
      <c r="F445" s="20">
        <f t="shared" si="17"/>
        <v>5.0333333333333323</v>
      </c>
      <c r="G445" s="20">
        <f>E445-F445</f>
        <v>-5.0333333333333323</v>
      </c>
      <c r="H445" s="8">
        <v>1</v>
      </c>
      <c r="J445" s="5"/>
    </row>
    <row r="446" spans="1:10">
      <c r="A446" s="8">
        <v>12</v>
      </c>
      <c r="B446" s="8" t="s">
        <v>335</v>
      </c>
      <c r="C446" s="6" t="s">
        <v>351</v>
      </c>
      <c r="D446" s="8">
        <v>1</v>
      </c>
      <c r="E446" s="8">
        <v>0</v>
      </c>
      <c r="F446" s="20">
        <f t="shared" si="17"/>
        <v>5.0333333333333323</v>
      </c>
      <c r="G446" s="20">
        <f>E446-F446</f>
        <v>-5.0333333333333323</v>
      </c>
      <c r="H446" s="8">
        <v>1</v>
      </c>
      <c r="J446" s="5"/>
    </row>
    <row r="447" spans="1:10">
      <c r="A447" s="8">
        <v>12</v>
      </c>
      <c r="B447" s="8" t="s">
        <v>335</v>
      </c>
      <c r="C447" s="6" t="s">
        <v>352</v>
      </c>
      <c r="D447" s="8">
        <v>1</v>
      </c>
      <c r="E447" s="8">
        <v>10</v>
      </c>
      <c r="F447" s="20">
        <f t="shared" si="17"/>
        <v>5.0333333333333323</v>
      </c>
      <c r="G447" s="20">
        <f>E447-F447</f>
        <v>4.9666666666666677</v>
      </c>
      <c r="H447" s="8">
        <v>10</v>
      </c>
      <c r="J447" s="5"/>
    </row>
    <row r="448" spans="1:10">
      <c r="A448" s="8">
        <v>12</v>
      </c>
      <c r="B448" s="8" t="s">
        <v>335</v>
      </c>
      <c r="C448" s="6" t="s">
        <v>353</v>
      </c>
      <c r="D448" s="8">
        <v>1</v>
      </c>
      <c r="E448" s="8">
        <v>0</v>
      </c>
      <c r="F448" s="20">
        <f t="shared" si="17"/>
        <v>5.0333333333333323</v>
      </c>
      <c r="G448" s="20">
        <f>E448-F448</f>
        <v>-5.0333333333333323</v>
      </c>
      <c r="H448" s="8">
        <v>1</v>
      </c>
      <c r="J448" s="5"/>
    </row>
    <row r="449" spans="1:10">
      <c r="A449" s="8">
        <v>12</v>
      </c>
      <c r="B449" s="8" t="s">
        <v>335</v>
      </c>
      <c r="C449" s="6" t="s">
        <v>354</v>
      </c>
      <c r="D449" s="8">
        <v>1</v>
      </c>
      <c r="E449" s="8">
        <v>0</v>
      </c>
      <c r="F449" s="20">
        <f t="shared" si="17"/>
        <v>5.0333333333333323</v>
      </c>
      <c r="G449" s="20">
        <f>E449-F449</f>
        <v>-5.0333333333333323</v>
      </c>
      <c r="H449" s="8">
        <v>3</v>
      </c>
      <c r="J449" s="5"/>
    </row>
    <row r="450" spans="1:10">
      <c r="A450" s="8">
        <v>12</v>
      </c>
      <c r="B450" s="8" t="s">
        <v>335</v>
      </c>
      <c r="C450" s="6" t="s">
        <v>355</v>
      </c>
      <c r="D450" s="8">
        <v>1</v>
      </c>
      <c r="E450" s="8">
        <v>0</v>
      </c>
      <c r="F450" s="20">
        <f t="shared" si="17"/>
        <v>5.0333333333333323</v>
      </c>
      <c r="G450" s="20">
        <f>E450-F450</f>
        <v>-5.0333333333333323</v>
      </c>
      <c r="H450" s="8">
        <v>3</v>
      </c>
      <c r="J450" s="5"/>
    </row>
    <row r="451" spans="1:10">
      <c r="A451" s="8">
        <v>12</v>
      </c>
      <c r="B451" s="8" t="s">
        <v>335</v>
      </c>
      <c r="C451" s="6" t="s">
        <v>356</v>
      </c>
      <c r="D451" s="8">
        <v>1</v>
      </c>
      <c r="E451" s="8">
        <v>0</v>
      </c>
      <c r="F451" s="20">
        <f t="shared" si="17"/>
        <v>5.0333333333333323</v>
      </c>
      <c r="G451" s="20">
        <f>E451-F451</f>
        <v>-5.0333333333333323</v>
      </c>
      <c r="H451" s="8">
        <v>1</v>
      </c>
      <c r="J451" s="5"/>
    </row>
    <row r="452" spans="1:10">
      <c r="A452" s="8">
        <v>12</v>
      </c>
      <c r="B452" s="8" t="s">
        <v>335</v>
      </c>
      <c r="C452" s="6" t="s">
        <v>357</v>
      </c>
      <c r="D452" s="8">
        <v>1</v>
      </c>
      <c r="E452" s="8">
        <v>0</v>
      </c>
      <c r="F452" s="20">
        <f t="shared" si="17"/>
        <v>5.0333333333333323</v>
      </c>
      <c r="G452" s="20">
        <f>E452-F452</f>
        <v>-5.0333333333333323</v>
      </c>
      <c r="H452" s="8">
        <v>1</v>
      </c>
      <c r="J452" s="5"/>
    </row>
    <row r="453" spans="1:10">
      <c r="A453" s="8">
        <v>12</v>
      </c>
      <c r="B453" s="8" t="s">
        <v>335</v>
      </c>
      <c r="C453" s="8" t="s">
        <v>358</v>
      </c>
      <c r="D453" s="8">
        <v>1</v>
      </c>
      <c r="E453" s="8">
        <v>4.7</v>
      </c>
      <c r="F453" s="20">
        <f t="shared" si="17"/>
        <v>5.0333333333333323</v>
      </c>
      <c r="G453" s="20">
        <f>E453-F453</f>
        <v>-0.33333333333333215</v>
      </c>
      <c r="H453" s="8">
        <v>43</v>
      </c>
      <c r="J453" s="5"/>
    </row>
    <row r="454" spans="1:10">
      <c r="A454" s="8">
        <v>12</v>
      </c>
      <c r="B454" s="8" t="s">
        <v>335</v>
      </c>
      <c r="C454" s="8" t="s">
        <v>359</v>
      </c>
      <c r="D454" s="8">
        <v>1</v>
      </c>
      <c r="E454" s="8">
        <v>0</v>
      </c>
      <c r="F454" s="20">
        <f t="shared" si="17"/>
        <v>5.0333333333333323</v>
      </c>
      <c r="G454" s="20">
        <f>E454-F454</f>
        <v>-5.0333333333333323</v>
      </c>
      <c r="H454" s="8">
        <v>5</v>
      </c>
      <c r="J454" s="5"/>
    </row>
    <row r="455" spans="1:10">
      <c r="A455" s="8">
        <v>12</v>
      </c>
      <c r="B455" s="8" t="s">
        <v>335</v>
      </c>
      <c r="C455" s="8" t="s">
        <v>360</v>
      </c>
      <c r="D455" s="8">
        <v>1</v>
      </c>
      <c r="E455" s="8">
        <v>5.3</v>
      </c>
      <c r="F455" s="20">
        <f t="shared" si="17"/>
        <v>5.0333333333333323</v>
      </c>
      <c r="G455" s="20">
        <f>E455-F455</f>
        <v>0.2666666666666675</v>
      </c>
      <c r="H455" s="8">
        <v>19</v>
      </c>
      <c r="J455" s="5"/>
    </row>
    <row r="456" spans="1:10">
      <c r="A456" s="8">
        <v>12</v>
      </c>
      <c r="B456" s="8" t="s">
        <v>335</v>
      </c>
      <c r="C456" s="8" t="s">
        <v>361</v>
      </c>
      <c r="D456" s="8">
        <v>1</v>
      </c>
      <c r="E456" s="8">
        <v>40</v>
      </c>
      <c r="F456" s="20">
        <f t="shared" si="17"/>
        <v>5.0333333333333323</v>
      </c>
      <c r="G456" s="20">
        <f>E456-F456</f>
        <v>34.966666666666669</v>
      </c>
      <c r="H456" s="8">
        <v>170</v>
      </c>
      <c r="J456" s="5"/>
    </row>
    <row r="457" spans="1:10">
      <c r="A457" s="8">
        <v>12</v>
      </c>
      <c r="B457" s="8" t="s">
        <v>335</v>
      </c>
      <c r="C457" s="8" t="s">
        <v>362</v>
      </c>
      <c r="D457" s="8">
        <v>1</v>
      </c>
      <c r="E457" s="8">
        <v>0</v>
      </c>
      <c r="F457" s="20">
        <f t="shared" si="17"/>
        <v>5.0333333333333323</v>
      </c>
      <c r="G457" s="20">
        <f>E457-F457</f>
        <v>-5.0333333333333323</v>
      </c>
      <c r="H457" s="8">
        <v>1</v>
      </c>
      <c r="J457" s="5"/>
    </row>
    <row r="458" spans="1:10">
      <c r="A458" s="8">
        <v>12</v>
      </c>
      <c r="B458" s="8" t="s">
        <v>335</v>
      </c>
      <c r="C458" s="8" t="s">
        <v>363</v>
      </c>
      <c r="D458" s="8">
        <v>1</v>
      </c>
      <c r="E458" s="8">
        <v>0</v>
      </c>
      <c r="F458" s="20">
        <f t="shared" si="17"/>
        <v>5.0333333333333323</v>
      </c>
      <c r="G458" s="20">
        <f>E458-F458</f>
        <v>-5.0333333333333323</v>
      </c>
      <c r="H458" s="8">
        <v>1</v>
      </c>
      <c r="J458" s="5"/>
    </row>
    <row r="459" spans="1:10" s="13" customFormat="1">
      <c r="A459" s="9">
        <v>13</v>
      </c>
      <c r="B459" s="9" t="s">
        <v>364</v>
      </c>
      <c r="C459" s="9" t="s">
        <v>365</v>
      </c>
      <c r="D459" s="9">
        <v>1</v>
      </c>
      <c r="E459" s="9">
        <v>20</v>
      </c>
      <c r="F459" s="27">
        <f t="shared" ref="F459:F468" si="18">AVERAGE(E$459:E$468)</f>
        <v>22.9</v>
      </c>
      <c r="G459" s="27">
        <f>E459-F459</f>
        <v>-2.8999999999999986</v>
      </c>
      <c r="H459" s="9">
        <v>380</v>
      </c>
      <c r="I459" s="9" t="s">
        <v>366</v>
      </c>
      <c r="J459" s="22" t="s">
        <v>616</v>
      </c>
    </row>
    <row r="460" spans="1:10">
      <c r="A460" s="8">
        <v>13</v>
      </c>
      <c r="B460" s="8" t="s">
        <v>364</v>
      </c>
      <c r="C460" s="6" t="s">
        <v>367</v>
      </c>
      <c r="D460" s="8">
        <v>1</v>
      </c>
      <c r="E460" s="8">
        <v>15</v>
      </c>
      <c r="F460" s="20">
        <f t="shared" si="18"/>
        <v>22.9</v>
      </c>
      <c r="G460" s="20">
        <f>E460-F460</f>
        <v>-7.8999999999999986</v>
      </c>
      <c r="H460" s="8">
        <v>380</v>
      </c>
      <c r="J460" s="5"/>
    </row>
    <row r="461" spans="1:10">
      <c r="A461" s="9">
        <v>13</v>
      </c>
      <c r="B461" s="8" t="s">
        <v>364</v>
      </c>
      <c r="C461" s="6" t="s">
        <v>368</v>
      </c>
      <c r="D461" s="8">
        <v>1</v>
      </c>
      <c r="E461" s="8">
        <v>14</v>
      </c>
      <c r="F461" s="20">
        <f t="shared" si="18"/>
        <v>22.9</v>
      </c>
      <c r="G461" s="20">
        <f>E461-F461</f>
        <v>-8.8999999999999986</v>
      </c>
      <c r="H461" s="8">
        <v>380</v>
      </c>
      <c r="J461" s="5"/>
    </row>
    <row r="462" spans="1:10">
      <c r="A462" s="8">
        <v>13</v>
      </c>
      <c r="B462" s="8" t="s">
        <v>364</v>
      </c>
      <c r="C462" s="6" t="s">
        <v>369</v>
      </c>
      <c r="D462" s="8">
        <v>1</v>
      </c>
      <c r="E462" s="8">
        <v>13</v>
      </c>
      <c r="F462" s="20">
        <f t="shared" si="18"/>
        <v>22.9</v>
      </c>
      <c r="G462" s="20">
        <f>E462-F462</f>
        <v>-9.8999999999999986</v>
      </c>
      <c r="H462" s="8">
        <v>380</v>
      </c>
      <c r="J462" s="5"/>
    </row>
    <row r="463" spans="1:10">
      <c r="A463" s="9">
        <v>13</v>
      </c>
      <c r="B463" s="8" t="s">
        <v>364</v>
      </c>
      <c r="C463" s="6" t="s">
        <v>370</v>
      </c>
      <c r="D463" s="8">
        <v>1</v>
      </c>
      <c r="E463" s="8">
        <v>5</v>
      </c>
      <c r="F463" s="20">
        <f t="shared" si="18"/>
        <v>22.9</v>
      </c>
      <c r="G463" s="20">
        <f>E463-F463</f>
        <v>-17.899999999999999</v>
      </c>
      <c r="H463" s="8">
        <v>380</v>
      </c>
      <c r="J463" s="5"/>
    </row>
    <row r="464" spans="1:10">
      <c r="A464" s="8">
        <v>13</v>
      </c>
      <c r="B464" s="8" t="s">
        <v>364</v>
      </c>
      <c r="C464" s="6" t="s">
        <v>371</v>
      </c>
      <c r="D464" s="8">
        <v>1</v>
      </c>
      <c r="E464" s="8">
        <v>30</v>
      </c>
      <c r="F464" s="20">
        <f t="shared" si="18"/>
        <v>22.9</v>
      </c>
      <c r="G464" s="20">
        <f>E464-F464</f>
        <v>7.1000000000000014</v>
      </c>
      <c r="H464" s="8">
        <v>380</v>
      </c>
      <c r="J464" s="5"/>
    </row>
    <row r="465" spans="1:10">
      <c r="A465" s="9">
        <v>13</v>
      </c>
      <c r="B465" s="8" t="s">
        <v>364</v>
      </c>
      <c r="C465" s="6" t="s">
        <v>372</v>
      </c>
      <c r="D465" s="8">
        <v>1</v>
      </c>
      <c r="E465" s="8">
        <v>64</v>
      </c>
      <c r="F465" s="20">
        <f t="shared" si="18"/>
        <v>22.9</v>
      </c>
      <c r="G465" s="20">
        <f>E465-F465</f>
        <v>41.1</v>
      </c>
      <c r="H465" s="8">
        <v>380</v>
      </c>
      <c r="J465" s="5"/>
    </row>
    <row r="466" spans="1:10">
      <c r="A466" s="8">
        <v>13</v>
      </c>
      <c r="B466" s="8" t="s">
        <v>364</v>
      </c>
      <c r="C466" s="6" t="s">
        <v>373</v>
      </c>
      <c r="D466" s="8">
        <v>1</v>
      </c>
      <c r="E466" s="8">
        <v>17</v>
      </c>
      <c r="F466" s="20">
        <f t="shared" si="18"/>
        <v>22.9</v>
      </c>
      <c r="G466" s="20">
        <f>E466-F466</f>
        <v>-5.8999999999999986</v>
      </c>
      <c r="H466" s="8">
        <v>380</v>
      </c>
      <c r="J466" s="5"/>
    </row>
    <row r="467" spans="1:10">
      <c r="A467" s="9">
        <v>13</v>
      </c>
      <c r="B467" s="8" t="s">
        <v>364</v>
      </c>
      <c r="C467" s="8" t="s">
        <v>374</v>
      </c>
      <c r="D467" s="8">
        <v>1</v>
      </c>
      <c r="E467" s="8">
        <v>23</v>
      </c>
      <c r="F467" s="20">
        <f t="shared" si="18"/>
        <v>22.9</v>
      </c>
      <c r="G467" s="20">
        <f>E467-F467</f>
        <v>0.10000000000000142</v>
      </c>
      <c r="H467" s="8">
        <v>380</v>
      </c>
      <c r="J467" s="5"/>
    </row>
    <row r="468" spans="1:10">
      <c r="A468" s="8">
        <v>13</v>
      </c>
      <c r="B468" s="8" t="s">
        <v>364</v>
      </c>
      <c r="C468" s="8" t="s">
        <v>375</v>
      </c>
      <c r="D468" s="8">
        <v>1</v>
      </c>
      <c r="E468" s="8">
        <v>28</v>
      </c>
      <c r="F468" s="20">
        <f t="shared" si="18"/>
        <v>22.9</v>
      </c>
      <c r="G468" s="20">
        <f>E468-F468</f>
        <v>5.1000000000000014</v>
      </c>
      <c r="H468" s="8">
        <v>380</v>
      </c>
      <c r="J468" s="5"/>
    </row>
    <row r="469" spans="1:10" s="13" customFormat="1">
      <c r="A469" s="9">
        <v>14</v>
      </c>
      <c r="B469" s="9" t="s">
        <v>376</v>
      </c>
      <c r="C469" s="9" t="s">
        <v>377</v>
      </c>
      <c r="D469" s="9">
        <v>1</v>
      </c>
      <c r="E469" s="9">
        <v>8.18</v>
      </c>
      <c r="F469" s="27">
        <f>AVERAGE(E$469:E$478)</f>
        <v>8.1920000000000002</v>
      </c>
      <c r="G469" s="27">
        <f>E469-F469</f>
        <v>-1.2000000000000455E-2</v>
      </c>
      <c r="H469" s="9"/>
      <c r="I469" s="9" t="s">
        <v>378</v>
      </c>
      <c r="J469" s="22"/>
    </row>
    <row r="470" spans="1:10">
      <c r="A470" s="8">
        <v>14</v>
      </c>
      <c r="B470" s="8" t="s">
        <v>376</v>
      </c>
      <c r="C470" s="6" t="s">
        <v>379</v>
      </c>
      <c r="D470" s="8">
        <v>1</v>
      </c>
      <c r="E470" s="8">
        <v>3.72</v>
      </c>
      <c r="F470" s="20">
        <f t="shared" ref="F470:F478" si="19">AVERAGE(E$469:E$478)</f>
        <v>8.1920000000000002</v>
      </c>
      <c r="G470" s="20">
        <f>E470-F470</f>
        <v>-4.4719999999999995</v>
      </c>
      <c r="H470" s="20"/>
      <c r="J470" s="5"/>
    </row>
    <row r="471" spans="1:10">
      <c r="A471" s="8">
        <v>14</v>
      </c>
      <c r="B471" s="8" t="s">
        <v>376</v>
      </c>
      <c r="C471" s="6" t="s">
        <v>380</v>
      </c>
      <c r="D471" s="8">
        <v>1</v>
      </c>
      <c r="E471" s="8">
        <v>4.3499999999999996</v>
      </c>
      <c r="F471" s="20">
        <f t="shared" si="19"/>
        <v>8.1920000000000002</v>
      </c>
      <c r="G471" s="20">
        <f>E471-F471</f>
        <v>-3.8420000000000005</v>
      </c>
      <c r="J471" s="5"/>
    </row>
    <row r="472" spans="1:10">
      <c r="A472" s="9">
        <v>14</v>
      </c>
      <c r="B472" s="8" t="s">
        <v>376</v>
      </c>
      <c r="C472" s="6" t="s">
        <v>381</v>
      </c>
      <c r="D472" s="8">
        <v>1</v>
      </c>
      <c r="E472" s="8">
        <v>7.17</v>
      </c>
      <c r="F472" s="20">
        <f t="shared" si="19"/>
        <v>8.1920000000000002</v>
      </c>
      <c r="G472" s="20">
        <f>E472-F472</f>
        <v>-1.0220000000000002</v>
      </c>
      <c r="J472" s="5"/>
    </row>
    <row r="473" spans="1:10">
      <c r="A473" s="8">
        <v>14</v>
      </c>
      <c r="B473" s="8" t="s">
        <v>376</v>
      </c>
      <c r="C473" s="6" t="s">
        <v>382</v>
      </c>
      <c r="D473" s="8">
        <v>1</v>
      </c>
      <c r="E473" s="8">
        <v>8.7100000000000009</v>
      </c>
      <c r="F473" s="20">
        <f t="shared" si="19"/>
        <v>8.1920000000000002</v>
      </c>
      <c r="G473" s="20">
        <f>E473-F473</f>
        <v>0.51800000000000068</v>
      </c>
      <c r="J473" s="5"/>
    </row>
    <row r="474" spans="1:10">
      <c r="A474" s="8">
        <v>14</v>
      </c>
      <c r="B474" s="8" t="s">
        <v>376</v>
      </c>
      <c r="C474" s="6" t="s">
        <v>383</v>
      </c>
      <c r="D474" s="8">
        <v>1</v>
      </c>
      <c r="E474" s="8">
        <v>5.22</v>
      </c>
      <c r="F474" s="20">
        <f t="shared" si="19"/>
        <v>8.1920000000000002</v>
      </c>
      <c r="G474" s="20">
        <f>E474-F474</f>
        <v>-2.9720000000000004</v>
      </c>
      <c r="J474" s="5"/>
    </row>
    <row r="475" spans="1:10">
      <c r="A475" s="9">
        <v>14</v>
      </c>
      <c r="B475" s="8" t="s">
        <v>376</v>
      </c>
      <c r="C475" s="6" t="s">
        <v>384</v>
      </c>
      <c r="D475" s="8">
        <v>1</v>
      </c>
      <c r="E475" s="20">
        <v>13.6</v>
      </c>
      <c r="F475" s="20">
        <f t="shared" si="19"/>
        <v>8.1920000000000002</v>
      </c>
      <c r="G475" s="20">
        <f>E475-F475</f>
        <v>5.4079999999999995</v>
      </c>
      <c r="J475" s="5"/>
    </row>
    <row r="476" spans="1:10">
      <c r="A476" s="8">
        <v>14</v>
      </c>
      <c r="B476" s="8" t="s">
        <v>376</v>
      </c>
      <c r="C476" s="6" t="s">
        <v>385</v>
      </c>
      <c r="D476" s="8">
        <v>1</v>
      </c>
      <c r="E476" s="20">
        <v>8</v>
      </c>
      <c r="F476" s="20">
        <f t="shared" si="19"/>
        <v>8.1920000000000002</v>
      </c>
      <c r="G476" s="20">
        <f>E476-F476</f>
        <v>-0.19200000000000017</v>
      </c>
      <c r="J476" s="5"/>
    </row>
    <row r="477" spans="1:10">
      <c r="A477" s="8">
        <v>14</v>
      </c>
      <c r="B477" s="8" t="s">
        <v>376</v>
      </c>
      <c r="C477" s="6" t="s">
        <v>386</v>
      </c>
      <c r="D477" s="8">
        <v>1</v>
      </c>
      <c r="E477" s="8">
        <v>7.88</v>
      </c>
      <c r="F477" s="20">
        <f t="shared" si="19"/>
        <v>8.1920000000000002</v>
      </c>
      <c r="G477" s="20">
        <f>E477-F477</f>
        <v>-0.31200000000000028</v>
      </c>
      <c r="J477" s="5"/>
    </row>
    <row r="478" spans="1:10">
      <c r="A478" s="9">
        <v>14</v>
      </c>
      <c r="B478" s="8" t="s">
        <v>376</v>
      </c>
      <c r="C478" s="8" t="s">
        <v>387</v>
      </c>
      <c r="D478" s="8">
        <v>1</v>
      </c>
      <c r="E478" s="8">
        <v>15.09</v>
      </c>
      <c r="F478" s="20">
        <f t="shared" si="19"/>
        <v>8.1920000000000002</v>
      </c>
      <c r="G478" s="20">
        <f>E478-F478</f>
        <v>6.8979999999999997</v>
      </c>
      <c r="J478" s="5"/>
    </row>
    <row r="479" spans="1:10" s="13" customFormat="1">
      <c r="A479" s="9">
        <v>15</v>
      </c>
      <c r="B479" s="9" t="s">
        <v>388</v>
      </c>
      <c r="C479" s="9" t="s">
        <v>379</v>
      </c>
      <c r="D479" s="9">
        <v>1</v>
      </c>
      <c r="E479" s="9">
        <v>3.45</v>
      </c>
      <c r="F479" s="27">
        <f>AVERAGE(E$479:E$489)</f>
        <v>5.1036363636363635</v>
      </c>
      <c r="G479" s="27">
        <f>E479-F479</f>
        <v>-1.6536363636363633</v>
      </c>
      <c r="H479" s="9"/>
      <c r="I479" s="9"/>
      <c r="J479" s="22"/>
    </row>
    <row r="480" spans="1:10">
      <c r="A480" s="8">
        <v>15</v>
      </c>
      <c r="B480" s="8" t="s">
        <v>388</v>
      </c>
      <c r="C480" s="6" t="s">
        <v>380</v>
      </c>
      <c r="D480" s="8">
        <v>1</v>
      </c>
      <c r="E480" s="8">
        <v>4.88</v>
      </c>
      <c r="F480" s="20">
        <f t="shared" ref="F480:F489" si="20">AVERAGE(E$479:E$489)</f>
        <v>5.1036363636363635</v>
      </c>
      <c r="G480" s="20">
        <f>E480-F480</f>
        <v>-0.22363636363636363</v>
      </c>
      <c r="J480" s="5"/>
    </row>
    <row r="481" spans="1:10">
      <c r="A481" s="9">
        <v>15</v>
      </c>
      <c r="B481" s="8" t="s">
        <v>388</v>
      </c>
      <c r="C481" s="6" t="s">
        <v>381</v>
      </c>
      <c r="D481" s="8">
        <v>1</v>
      </c>
      <c r="E481" s="20">
        <v>5.3</v>
      </c>
      <c r="F481" s="20">
        <f t="shared" si="20"/>
        <v>5.1036363636363635</v>
      </c>
      <c r="G481" s="20">
        <f>E481-F481</f>
        <v>0.1963636363636363</v>
      </c>
      <c r="H481" s="20"/>
      <c r="J481" s="5"/>
    </row>
    <row r="482" spans="1:10">
      <c r="A482" s="8">
        <v>15</v>
      </c>
      <c r="B482" s="8" t="s">
        <v>388</v>
      </c>
      <c r="C482" s="6" t="s">
        <v>389</v>
      </c>
      <c r="D482" s="8">
        <v>1</v>
      </c>
      <c r="E482" s="8">
        <v>6.09</v>
      </c>
      <c r="F482" s="20">
        <f t="shared" si="20"/>
        <v>5.1036363636363635</v>
      </c>
      <c r="G482" s="20">
        <f>E482-F482</f>
        <v>0.98636363636363633</v>
      </c>
      <c r="J482" s="5"/>
    </row>
    <row r="483" spans="1:10">
      <c r="A483" s="9">
        <v>15</v>
      </c>
      <c r="B483" s="8" t="s">
        <v>388</v>
      </c>
      <c r="C483" s="6" t="s">
        <v>383</v>
      </c>
      <c r="D483" s="8">
        <v>1</v>
      </c>
      <c r="E483" s="8">
        <v>0</v>
      </c>
      <c r="F483" s="20">
        <f t="shared" si="20"/>
        <v>5.1036363636363635</v>
      </c>
      <c r="G483" s="20">
        <f>E483-F483</f>
        <v>-5.1036363636363635</v>
      </c>
      <c r="J483" s="5"/>
    </row>
    <row r="484" spans="1:10">
      <c r="A484" s="8">
        <v>15</v>
      </c>
      <c r="B484" s="8" t="s">
        <v>388</v>
      </c>
      <c r="C484" s="6" t="s">
        <v>384</v>
      </c>
      <c r="D484" s="8">
        <v>1</v>
      </c>
      <c r="E484" s="8">
        <v>7.41</v>
      </c>
      <c r="F484" s="20">
        <f t="shared" si="20"/>
        <v>5.1036363636363635</v>
      </c>
      <c r="G484" s="20">
        <f>E484-F484</f>
        <v>2.3063636363636366</v>
      </c>
      <c r="J484" s="5"/>
    </row>
    <row r="485" spans="1:10">
      <c r="A485" s="9">
        <v>15</v>
      </c>
      <c r="B485" s="8" t="s">
        <v>388</v>
      </c>
      <c r="C485" s="6" t="s">
        <v>385</v>
      </c>
      <c r="D485" s="8">
        <v>1</v>
      </c>
      <c r="E485" s="8">
        <v>4.26</v>
      </c>
      <c r="F485" s="20">
        <f t="shared" si="20"/>
        <v>5.1036363636363635</v>
      </c>
      <c r="G485" s="20">
        <f>E485-F485</f>
        <v>-0.84363636363636374</v>
      </c>
      <c r="I485" s="8" t="s">
        <v>378</v>
      </c>
      <c r="J485" s="5"/>
    </row>
    <row r="486" spans="1:10">
      <c r="A486" s="8">
        <v>15</v>
      </c>
      <c r="B486" s="8" t="s">
        <v>388</v>
      </c>
      <c r="C486" s="6" t="s">
        <v>386</v>
      </c>
      <c r="D486" s="8">
        <v>1</v>
      </c>
      <c r="E486" s="8">
        <v>13.64</v>
      </c>
      <c r="F486" s="20">
        <f t="shared" si="20"/>
        <v>5.1036363636363635</v>
      </c>
      <c r="G486" s="20">
        <f>E486-F486</f>
        <v>8.536363636363637</v>
      </c>
      <c r="H486" s="20"/>
      <c r="J486" s="5"/>
    </row>
    <row r="487" spans="1:10">
      <c r="A487" s="9">
        <v>15</v>
      </c>
      <c r="B487" s="8" t="s">
        <v>388</v>
      </c>
      <c r="C487" s="8" t="s">
        <v>387</v>
      </c>
      <c r="D487" s="8">
        <v>1</v>
      </c>
      <c r="E487" s="8">
        <v>0</v>
      </c>
      <c r="F487" s="20">
        <f t="shared" si="20"/>
        <v>5.1036363636363635</v>
      </c>
      <c r="G487" s="20">
        <f>E487-F487</f>
        <v>-5.1036363636363635</v>
      </c>
      <c r="J487" s="5"/>
    </row>
    <row r="488" spans="1:10">
      <c r="A488" s="8">
        <v>15</v>
      </c>
      <c r="B488" s="8" t="s">
        <v>388</v>
      </c>
      <c r="C488" s="8" t="s">
        <v>390</v>
      </c>
      <c r="D488" s="8">
        <v>1</v>
      </c>
      <c r="E488" s="8">
        <v>11.11</v>
      </c>
      <c r="F488" s="20">
        <f t="shared" si="20"/>
        <v>5.1036363636363635</v>
      </c>
      <c r="G488" s="20">
        <f>E488-F488</f>
        <v>6.0063636363636359</v>
      </c>
      <c r="H488" s="20"/>
      <c r="J488" s="5"/>
    </row>
    <row r="489" spans="1:10">
      <c r="A489" s="9">
        <v>15</v>
      </c>
      <c r="B489" s="8" t="s">
        <v>388</v>
      </c>
      <c r="C489" s="8" t="s">
        <v>391</v>
      </c>
      <c r="D489" s="8">
        <v>1</v>
      </c>
      <c r="E489" s="8">
        <v>0</v>
      </c>
      <c r="F489" s="20">
        <f t="shared" si="20"/>
        <v>5.1036363636363635</v>
      </c>
      <c r="G489" s="20">
        <f>E489-F489</f>
        <v>-5.1036363636363635</v>
      </c>
      <c r="J489" s="5"/>
    </row>
    <row r="490" spans="1:10">
      <c r="A490" s="8">
        <v>15</v>
      </c>
      <c r="B490" s="8" t="s">
        <v>388</v>
      </c>
      <c r="C490" s="6" t="s">
        <v>379</v>
      </c>
      <c r="D490" s="8">
        <v>2</v>
      </c>
      <c r="E490" s="8">
        <v>4.63</v>
      </c>
      <c r="F490" s="20">
        <f>AVERAGE(E$490:E$500)</f>
        <v>3.64</v>
      </c>
      <c r="G490" s="20">
        <f>E490-F490</f>
        <v>0.98999999999999977</v>
      </c>
      <c r="J490" s="5"/>
    </row>
    <row r="491" spans="1:10">
      <c r="A491" s="9">
        <v>15</v>
      </c>
      <c r="B491" s="8" t="s">
        <v>388</v>
      </c>
      <c r="C491" s="6" t="s">
        <v>380</v>
      </c>
      <c r="D491" s="8">
        <v>2</v>
      </c>
      <c r="E491" s="8">
        <v>3.01</v>
      </c>
      <c r="F491" s="20">
        <f t="shared" ref="F491:F500" si="21">AVERAGE(E$490:E$500)</f>
        <v>3.64</v>
      </c>
      <c r="G491" s="20">
        <f>E491-F491</f>
        <v>-0.63000000000000034</v>
      </c>
      <c r="H491" s="20"/>
      <c r="J491" s="5"/>
    </row>
    <row r="492" spans="1:10">
      <c r="A492" s="8">
        <v>15</v>
      </c>
      <c r="B492" s="8" t="s">
        <v>388</v>
      </c>
      <c r="C492" s="6" t="s">
        <v>381</v>
      </c>
      <c r="D492" s="8">
        <v>2</v>
      </c>
      <c r="E492" s="8">
        <v>2.15</v>
      </c>
      <c r="F492" s="20">
        <f t="shared" si="21"/>
        <v>3.64</v>
      </c>
      <c r="G492" s="20">
        <f>E492-F492</f>
        <v>-1.4900000000000002</v>
      </c>
      <c r="J492" s="5"/>
    </row>
    <row r="493" spans="1:10">
      <c r="A493" s="9">
        <v>15</v>
      </c>
      <c r="B493" s="8" t="s">
        <v>388</v>
      </c>
      <c r="C493" s="6" t="s">
        <v>389</v>
      </c>
      <c r="D493" s="8">
        <v>2</v>
      </c>
      <c r="E493" s="8">
        <v>6.42</v>
      </c>
      <c r="F493" s="20">
        <f t="shared" si="21"/>
        <v>3.64</v>
      </c>
      <c r="G493" s="20">
        <f>E493-F493</f>
        <v>2.78</v>
      </c>
      <c r="J493" s="5"/>
    </row>
    <row r="494" spans="1:10">
      <c r="A494" s="8">
        <v>15</v>
      </c>
      <c r="B494" s="8" t="s">
        <v>388</v>
      </c>
      <c r="C494" s="6" t="s">
        <v>383</v>
      </c>
      <c r="D494" s="8">
        <v>2</v>
      </c>
      <c r="E494" s="8">
        <v>4.42</v>
      </c>
      <c r="F494" s="20">
        <f t="shared" si="21"/>
        <v>3.64</v>
      </c>
      <c r="G494" s="20">
        <f>E494-F494</f>
        <v>0.7799999999999998</v>
      </c>
      <c r="H494" s="20"/>
      <c r="J494" s="5"/>
    </row>
    <row r="495" spans="1:10">
      <c r="A495" s="9">
        <v>15</v>
      </c>
      <c r="B495" s="8" t="s">
        <v>388</v>
      </c>
      <c r="C495" s="6" t="s">
        <v>384</v>
      </c>
      <c r="D495" s="8">
        <v>2</v>
      </c>
      <c r="E495" s="8">
        <v>2.08</v>
      </c>
      <c r="F495" s="20">
        <f t="shared" si="21"/>
        <v>3.64</v>
      </c>
      <c r="G495" s="20">
        <f>E495-F495</f>
        <v>-1.56</v>
      </c>
      <c r="J495" s="5"/>
    </row>
    <row r="496" spans="1:10">
      <c r="A496" s="8">
        <v>15</v>
      </c>
      <c r="B496" s="8" t="s">
        <v>388</v>
      </c>
      <c r="C496" s="6" t="s">
        <v>385</v>
      </c>
      <c r="D496" s="8">
        <v>2</v>
      </c>
      <c r="E496" s="8">
        <v>3.91</v>
      </c>
      <c r="F496" s="20">
        <f t="shared" si="21"/>
        <v>3.64</v>
      </c>
      <c r="G496" s="20">
        <f>E496-F496</f>
        <v>0.27</v>
      </c>
      <c r="H496" s="20"/>
      <c r="J496" s="5"/>
    </row>
    <row r="497" spans="1:10">
      <c r="A497" s="9">
        <v>15</v>
      </c>
      <c r="B497" s="8" t="s">
        <v>388</v>
      </c>
      <c r="C497" s="6" t="s">
        <v>386</v>
      </c>
      <c r="D497" s="8">
        <v>2</v>
      </c>
      <c r="E497" s="8">
        <v>6.96</v>
      </c>
      <c r="F497" s="20">
        <f t="shared" si="21"/>
        <v>3.64</v>
      </c>
      <c r="G497" s="20">
        <f>E497-F497</f>
        <v>3.32</v>
      </c>
      <c r="J497" s="5"/>
    </row>
    <row r="498" spans="1:10">
      <c r="A498" s="8">
        <v>15</v>
      </c>
      <c r="B498" s="8" t="s">
        <v>388</v>
      </c>
      <c r="C498" s="8" t="s">
        <v>387</v>
      </c>
      <c r="D498" s="8">
        <v>2</v>
      </c>
      <c r="E498" s="8">
        <v>2.41</v>
      </c>
      <c r="F498" s="20">
        <f t="shared" si="21"/>
        <v>3.64</v>
      </c>
      <c r="G498" s="20">
        <f>E498-F498</f>
        <v>-1.23</v>
      </c>
      <c r="J498" s="5"/>
    </row>
    <row r="499" spans="1:10">
      <c r="A499" s="9">
        <v>15</v>
      </c>
      <c r="B499" s="8" t="s">
        <v>388</v>
      </c>
      <c r="C499" s="8" t="s">
        <v>390</v>
      </c>
      <c r="D499" s="8">
        <v>2</v>
      </c>
      <c r="E499" s="8">
        <v>1.27</v>
      </c>
      <c r="F499" s="20">
        <f t="shared" si="21"/>
        <v>3.64</v>
      </c>
      <c r="G499" s="20">
        <f>E499-F499</f>
        <v>-2.37</v>
      </c>
      <c r="J499" s="5"/>
    </row>
    <row r="500" spans="1:10">
      <c r="A500" s="8">
        <v>15</v>
      </c>
      <c r="B500" s="8" t="s">
        <v>388</v>
      </c>
      <c r="C500" s="8" t="s">
        <v>391</v>
      </c>
      <c r="D500" s="8">
        <v>2</v>
      </c>
      <c r="E500" s="8">
        <v>2.78</v>
      </c>
      <c r="F500" s="20">
        <f t="shared" si="21"/>
        <v>3.64</v>
      </c>
      <c r="G500" s="20">
        <f>E500-F500</f>
        <v>-0.86000000000000032</v>
      </c>
      <c r="H500" s="20"/>
      <c r="J500" s="5"/>
    </row>
    <row r="501" spans="1:10" s="13" customFormat="1">
      <c r="A501" s="9">
        <v>16</v>
      </c>
      <c r="B501" s="9" t="s">
        <v>392</v>
      </c>
      <c r="C501" s="9" t="s">
        <v>393</v>
      </c>
      <c r="D501" s="9">
        <v>1</v>
      </c>
      <c r="E501" s="9">
        <v>3.45</v>
      </c>
      <c r="F501" s="27">
        <f>AVERAGE(E$501:E$534)</f>
        <v>2.3279411764705884</v>
      </c>
      <c r="G501" s="27">
        <f>E501-F501</f>
        <v>1.1220588235294118</v>
      </c>
      <c r="H501" s="9">
        <v>94</v>
      </c>
      <c r="I501" s="9" t="s">
        <v>394</v>
      </c>
      <c r="J501" s="9" t="s">
        <v>617</v>
      </c>
    </row>
    <row r="502" spans="1:10">
      <c r="A502" s="8">
        <v>16</v>
      </c>
      <c r="B502" s="8" t="s">
        <v>392</v>
      </c>
      <c r="C502" s="6" t="s">
        <v>395</v>
      </c>
      <c r="D502" s="8">
        <v>1</v>
      </c>
      <c r="E502" s="8">
        <v>3.64</v>
      </c>
      <c r="F502" s="20">
        <f t="shared" ref="F502:F534" si="22">AVERAGE(E$501:E$534)</f>
        <v>2.3279411764705884</v>
      </c>
      <c r="G502" s="20">
        <f>E502-F502</f>
        <v>1.3120588235294117</v>
      </c>
      <c r="H502" s="8">
        <v>119</v>
      </c>
      <c r="I502" s="9" t="s">
        <v>394</v>
      </c>
      <c r="J502" s="5"/>
    </row>
    <row r="503" spans="1:10">
      <c r="A503" s="9">
        <v>16</v>
      </c>
      <c r="B503" s="8" t="s">
        <v>392</v>
      </c>
      <c r="C503" s="6" t="s">
        <v>396</v>
      </c>
      <c r="D503" s="8">
        <v>1</v>
      </c>
      <c r="E503" s="20">
        <v>2</v>
      </c>
      <c r="F503" s="20">
        <f t="shared" si="22"/>
        <v>2.3279411764705884</v>
      </c>
      <c r="G503" s="20">
        <f>E503-F503</f>
        <v>-0.3279411764705884</v>
      </c>
      <c r="H503" s="8">
        <v>214</v>
      </c>
      <c r="I503" s="9" t="s">
        <v>394</v>
      </c>
      <c r="J503" s="5"/>
    </row>
    <row r="504" spans="1:10">
      <c r="A504" s="8">
        <v>16</v>
      </c>
      <c r="B504" s="8" t="s">
        <v>392</v>
      </c>
      <c r="C504" s="6" t="s">
        <v>397</v>
      </c>
      <c r="D504" s="8">
        <v>1</v>
      </c>
      <c r="E504" s="8">
        <v>1.87</v>
      </c>
      <c r="F504" s="20">
        <f t="shared" si="22"/>
        <v>2.3279411764705884</v>
      </c>
      <c r="G504" s="20">
        <f>E504-F504</f>
        <v>-0.4579411764705883</v>
      </c>
      <c r="H504" s="8">
        <v>560</v>
      </c>
      <c r="I504" s="9" t="s">
        <v>394</v>
      </c>
      <c r="J504" s="5"/>
    </row>
    <row r="505" spans="1:10">
      <c r="A505" s="9">
        <v>16</v>
      </c>
      <c r="B505" s="8" t="s">
        <v>392</v>
      </c>
      <c r="C505" s="6" t="s">
        <v>398</v>
      </c>
      <c r="D505" s="8">
        <v>1</v>
      </c>
      <c r="E505" s="8">
        <v>1.46</v>
      </c>
      <c r="F505" s="20">
        <f t="shared" si="22"/>
        <v>2.3279411764705884</v>
      </c>
      <c r="G505" s="20">
        <f>E505-F505</f>
        <v>-0.86794117647058844</v>
      </c>
      <c r="H505" s="8">
        <v>233</v>
      </c>
      <c r="I505" s="9" t="s">
        <v>394</v>
      </c>
      <c r="J505" s="5"/>
    </row>
    <row r="506" spans="1:10">
      <c r="A506" s="8">
        <v>16</v>
      </c>
      <c r="B506" s="8" t="s">
        <v>392</v>
      </c>
      <c r="C506" s="6" t="s">
        <v>399</v>
      </c>
      <c r="D506" s="8">
        <v>1</v>
      </c>
      <c r="E506" s="8">
        <v>1.41</v>
      </c>
      <c r="F506" s="20">
        <f t="shared" si="22"/>
        <v>2.3279411764705884</v>
      </c>
      <c r="G506" s="20">
        <f>E506-F506</f>
        <v>-0.91794117647058848</v>
      </c>
      <c r="H506" s="8">
        <v>86</v>
      </c>
      <c r="I506" s="9" t="s">
        <v>394</v>
      </c>
      <c r="J506" s="5"/>
    </row>
    <row r="507" spans="1:10">
      <c r="A507" s="9">
        <v>16</v>
      </c>
      <c r="B507" s="8" t="s">
        <v>392</v>
      </c>
      <c r="C507" s="6" t="s">
        <v>400</v>
      </c>
      <c r="D507" s="8">
        <v>1</v>
      </c>
      <c r="E507" s="8">
        <v>1.48</v>
      </c>
      <c r="F507" s="20">
        <f t="shared" si="22"/>
        <v>2.3279411764705884</v>
      </c>
      <c r="G507" s="20">
        <f>E507-F507</f>
        <v>-0.84794117647058842</v>
      </c>
      <c r="H507" s="8">
        <v>117</v>
      </c>
      <c r="I507" s="9" t="s">
        <v>394</v>
      </c>
      <c r="J507" s="5"/>
    </row>
    <row r="508" spans="1:10">
      <c r="A508" s="8">
        <v>16</v>
      </c>
      <c r="B508" s="8" t="s">
        <v>392</v>
      </c>
      <c r="C508" s="6" t="s">
        <v>401</v>
      </c>
      <c r="D508" s="8">
        <v>1</v>
      </c>
      <c r="E508" s="8">
        <v>1.26</v>
      </c>
      <c r="F508" s="20">
        <f t="shared" si="22"/>
        <v>2.3279411764705884</v>
      </c>
      <c r="G508" s="20">
        <f>E508-F508</f>
        <v>-1.0679411764705884</v>
      </c>
      <c r="H508" s="8">
        <v>285</v>
      </c>
      <c r="I508" s="9" t="s">
        <v>394</v>
      </c>
      <c r="J508" s="5"/>
    </row>
    <row r="509" spans="1:10">
      <c r="A509" s="9">
        <v>16</v>
      </c>
      <c r="B509" s="8" t="s">
        <v>392</v>
      </c>
      <c r="C509" s="6" t="s">
        <v>402</v>
      </c>
      <c r="D509" s="8">
        <v>1</v>
      </c>
      <c r="E509" s="8">
        <v>1.26</v>
      </c>
      <c r="F509" s="20">
        <f t="shared" si="22"/>
        <v>2.3279411764705884</v>
      </c>
      <c r="G509" s="20">
        <f>E509-F509</f>
        <v>-1.0679411764705884</v>
      </c>
      <c r="H509" s="8">
        <f>57+86</f>
        <v>143</v>
      </c>
      <c r="I509" s="9" t="s">
        <v>394</v>
      </c>
      <c r="J509" s="5"/>
    </row>
    <row r="510" spans="1:10">
      <c r="A510" s="8">
        <v>16</v>
      </c>
      <c r="B510" s="8" t="s">
        <v>392</v>
      </c>
      <c r="C510" s="6" t="s">
        <v>403</v>
      </c>
      <c r="D510" s="8">
        <v>1</v>
      </c>
      <c r="E510" s="8">
        <v>1.7</v>
      </c>
      <c r="F510" s="20">
        <f t="shared" si="22"/>
        <v>2.3279411764705884</v>
      </c>
      <c r="G510" s="20">
        <f>E510-F510</f>
        <v>-0.62794117647058845</v>
      </c>
      <c r="H510" s="8">
        <v>838</v>
      </c>
      <c r="I510" s="9" t="s">
        <v>394</v>
      </c>
      <c r="J510" s="5"/>
    </row>
    <row r="511" spans="1:10">
      <c r="A511" s="9">
        <v>16</v>
      </c>
      <c r="B511" s="8" t="s">
        <v>392</v>
      </c>
      <c r="C511" s="6" t="s">
        <v>404</v>
      </c>
      <c r="D511" s="8">
        <v>1</v>
      </c>
      <c r="E511" s="8">
        <v>1.43</v>
      </c>
      <c r="F511" s="20">
        <f t="shared" si="22"/>
        <v>2.3279411764705884</v>
      </c>
      <c r="G511" s="20">
        <f>E511-F511</f>
        <v>-0.89794117647058846</v>
      </c>
      <c r="H511" s="8">
        <f>62+78</f>
        <v>140</v>
      </c>
      <c r="I511" s="9" t="s">
        <v>394</v>
      </c>
      <c r="J511" s="5"/>
    </row>
    <row r="512" spans="1:10">
      <c r="A512" s="8">
        <v>16</v>
      </c>
      <c r="B512" s="8" t="s">
        <v>392</v>
      </c>
      <c r="C512" s="6" t="s">
        <v>405</v>
      </c>
      <c r="D512" s="8">
        <v>1</v>
      </c>
      <c r="E512" s="8">
        <v>1.88</v>
      </c>
      <c r="F512" s="20">
        <f t="shared" si="22"/>
        <v>2.3279411764705884</v>
      </c>
      <c r="G512" s="20">
        <f>E512-F512</f>
        <v>-0.44794117647058851</v>
      </c>
      <c r="H512" s="8">
        <f>315+201</f>
        <v>516</v>
      </c>
      <c r="I512" s="9" t="s">
        <v>394</v>
      </c>
      <c r="J512" s="5"/>
    </row>
    <row r="513" spans="1:10">
      <c r="A513" s="9">
        <v>16</v>
      </c>
      <c r="B513" s="8" t="s">
        <v>392</v>
      </c>
      <c r="C513" s="6" t="s">
        <v>406</v>
      </c>
      <c r="D513" s="8">
        <v>1</v>
      </c>
      <c r="E513" s="8">
        <v>1.1100000000000001</v>
      </c>
      <c r="F513" s="20">
        <f t="shared" si="22"/>
        <v>2.3279411764705884</v>
      </c>
      <c r="G513" s="20">
        <f>E513-F513</f>
        <v>-1.2179411764705883</v>
      </c>
      <c r="H513" s="8">
        <f>54+37</f>
        <v>91</v>
      </c>
      <c r="I513" s="9" t="s">
        <v>394</v>
      </c>
      <c r="J513" s="5"/>
    </row>
    <row r="514" spans="1:10">
      <c r="A514" s="8">
        <v>16</v>
      </c>
      <c r="B514" s="8" t="s">
        <v>392</v>
      </c>
      <c r="C514" s="6" t="s">
        <v>407</v>
      </c>
      <c r="D514" s="8">
        <v>1</v>
      </c>
      <c r="E514" s="8">
        <v>0.49</v>
      </c>
      <c r="F514" s="20">
        <f t="shared" si="22"/>
        <v>2.3279411764705884</v>
      </c>
      <c r="G514" s="20">
        <f>E514-F514</f>
        <v>-1.8379411764705884</v>
      </c>
      <c r="H514" s="8">
        <v>141</v>
      </c>
      <c r="I514" s="9" t="s">
        <v>394</v>
      </c>
      <c r="J514" s="5"/>
    </row>
    <row r="515" spans="1:10">
      <c r="A515" s="9">
        <v>16</v>
      </c>
      <c r="B515" s="8" t="s">
        <v>392</v>
      </c>
      <c r="C515" s="6" t="s">
        <v>408</v>
      </c>
      <c r="D515" s="8">
        <v>1</v>
      </c>
      <c r="E515" s="8">
        <v>1.24</v>
      </c>
      <c r="F515" s="20">
        <f t="shared" si="22"/>
        <v>2.3279411764705884</v>
      </c>
      <c r="G515" s="20">
        <f>E515-F515</f>
        <v>-1.0879411764705884</v>
      </c>
      <c r="H515" s="8">
        <v>90</v>
      </c>
      <c r="I515" s="9" t="s">
        <v>394</v>
      </c>
      <c r="J515" s="5"/>
    </row>
    <row r="516" spans="1:10">
      <c r="A516" s="8">
        <v>16</v>
      </c>
      <c r="B516" s="8" t="s">
        <v>392</v>
      </c>
      <c r="C516" s="6" t="s">
        <v>409</v>
      </c>
      <c r="D516" s="8">
        <v>1</v>
      </c>
      <c r="E516" s="8">
        <v>3.88</v>
      </c>
      <c r="F516" s="20">
        <f t="shared" si="22"/>
        <v>2.3279411764705884</v>
      </c>
      <c r="G516" s="20">
        <f>E516-F516</f>
        <v>1.5520588235294115</v>
      </c>
      <c r="H516" s="8">
        <f>172+145</f>
        <v>317</v>
      </c>
      <c r="I516" s="9" t="s">
        <v>394</v>
      </c>
      <c r="J516" s="5"/>
    </row>
    <row r="517" spans="1:10">
      <c r="A517" s="9">
        <v>16</v>
      </c>
      <c r="B517" s="8" t="s">
        <v>392</v>
      </c>
      <c r="C517" s="6" t="s">
        <v>410</v>
      </c>
      <c r="D517" s="8">
        <v>1</v>
      </c>
      <c r="E517" s="8">
        <v>4.33</v>
      </c>
      <c r="F517" s="20">
        <f t="shared" si="22"/>
        <v>2.3279411764705884</v>
      </c>
      <c r="G517" s="20">
        <f>E517-F517</f>
        <v>2.0020588235294117</v>
      </c>
      <c r="H517" s="8">
        <f>66+83</f>
        <v>149</v>
      </c>
      <c r="I517" s="9" t="s">
        <v>394</v>
      </c>
      <c r="J517" s="5"/>
    </row>
    <row r="518" spans="1:10">
      <c r="A518" s="8">
        <v>16</v>
      </c>
      <c r="B518" s="8" t="s">
        <v>392</v>
      </c>
      <c r="C518" s="6" t="s">
        <v>411</v>
      </c>
      <c r="D518" s="8">
        <v>1</v>
      </c>
      <c r="E518" s="8">
        <v>0.88</v>
      </c>
      <c r="F518" s="20">
        <f t="shared" si="22"/>
        <v>2.3279411764705884</v>
      </c>
      <c r="G518" s="20">
        <f>E518-F518</f>
        <v>-1.4479411764705885</v>
      </c>
      <c r="H518" s="8">
        <f>112+116</f>
        <v>228</v>
      </c>
      <c r="I518" s="9" t="s">
        <v>394</v>
      </c>
      <c r="J518" s="5"/>
    </row>
    <row r="519" spans="1:10">
      <c r="A519" s="9">
        <v>16</v>
      </c>
      <c r="B519" s="8" t="s">
        <v>392</v>
      </c>
      <c r="C519" s="6" t="s">
        <v>412</v>
      </c>
      <c r="D519" s="8">
        <v>1</v>
      </c>
      <c r="E519" s="8">
        <v>1.22</v>
      </c>
      <c r="F519" s="20">
        <f t="shared" si="22"/>
        <v>2.3279411764705884</v>
      </c>
      <c r="G519" s="20">
        <f>E519-F519</f>
        <v>-1.1079411764705884</v>
      </c>
      <c r="H519" s="8">
        <f>283+149</f>
        <v>432</v>
      </c>
      <c r="I519" s="9" t="s">
        <v>394</v>
      </c>
      <c r="J519" s="5"/>
    </row>
    <row r="520" spans="1:10">
      <c r="A520" s="8">
        <v>16</v>
      </c>
      <c r="B520" s="8" t="s">
        <v>392</v>
      </c>
      <c r="C520" s="6" t="s">
        <v>413</v>
      </c>
      <c r="D520" s="8">
        <v>1</v>
      </c>
      <c r="E520" s="8">
        <v>1.57</v>
      </c>
      <c r="F520" s="20">
        <f t="shared" si="22"/>
        <v>2.3279411764705884</v>
      </c>
      <c r="G520" s="20">
        <f>E520-F520</f>
        <v>-0.75794117647058834</v>
      </c>
      <c r="H520" s="8">
        <f>117+82</f>
        <v>199</v>
      </c>
      <c r="I520" s="9" t="s">
        <v>394</v>
      </c>
      <c r="J520" s="5"/>
    </row>
    <row r="521" spans="1:10">
      <c r="A521" s="9">
        <v>16</v>
      </c>
      <c r="B521" s="8" t="s">
        <v>392</v>
      </c>
      <c r="C521" s="6" t="s">
        <v>414</v>
      </c>
      <c r="D521" s="8">
        <v>1</v>
      </c>
      <c r="E521" s="8">
        <v>1.99</v>
      </c>
      <c r="F521" s="20">
        <f t="shared" si="22"/>
        <v>2.3279411764705884</v>
      </c>
      <c r="G521" s="20">
        <f>E521-F521</f>
        <v>-0.33794117647058841</v>
      </c>
      <c r="H521" s="8">
        <f>1246+1010</f>
        <v>2256</v>
      </c>
      <c r="I521" s="9" t="s">
        <v>394</v>
      </c>
      <c r="J521" s="5"/>
    </row>
    <row r="522" spans="1:10">
      <c r="A522" s="8">
        <v>16</v>
      </c>
      <c r="B522" s="8" t="s">
        <v>392</v>
      </c>
      <c r="C522" s="6" t="s">
        <v>415</v>
      </c>
      <c r="D522" s="8">
        <v>1</v>
      </c>
      <c r="E522" s="8">
        <v>3.53</v>
      </c>
      <c r="F522" s="20">
        <f t="shared" si="22"/>
        <v>2.3279411764705884</v>
      </c>
      <c r="G522" s="20">
        <f>E522-F522</f>
        <v>1.2020588235294114</v>
      </c>
      <c r="H522" s="8">
        <f>222+182</f>
        <v>404</v>
      </c>
      <c r="I522" s="9" t="s">
        <v>394</v>
      </c>
      <c r="J522" s="5"/>
    </row>
    <row r="523" spans="1:10">
      <c r="A523" s="9">
        <v>16</v>
      </c>
      <c r="B523" s="8" t="s">
        <v>392</v>
      </c>
      <c r="C523" s="6" t="s">
        <v>416</v>
      </c>
      <c r="D523" s="8">
        <v>1</v>
      </c>
      <c r="E523" s="8">
        <v>2.82</v>
      </c>
      <c r="F523" s="20">
        <f t="shared" si="22"/>
        <v>2.3279411764705884</v>
      </c>
      <c r="G523" s="20">
        <f>E523-F523</f>
        <v>0.49205882352941144</v>
      </c>
      <c r="H523" s="8">
        <v>102</v>
      </c>
      <c r="I523" s="9" t="s">
        <v>394</v>
      </c>
      <c r="J523" s="5"/>
    </row>
    <row r="524" spans="1:10">
      <c r="A524" s="8">
        <v>16</v>
      </c>
      <c r="B524" s="8" t="s">
        <v>392</v>
      </c>
      <c r="C524" s="6" t="s">
        <v>417</v>
      </c>
      <c r="D524" s="8">
        <v>1</v>
      </c>
      <c r="E524" s="8">
        <v>3.45</v>
      </c>
      <c r="F524" s="20">
        <f t="shared" si="22"/>
        <v>2.3279411764705884</v>
      </c>
      <c r="G524" s="20">
        <f>E524-F524</f>
        <v>1.1220588235294118</v>
      </c>
      <c r="H524" s="8">
        <f>93+90</f>
        <v>183</v>
      </c>
      <c r="I524" s="9" t="s">
        <v>394</v>
      </c>
      <c r="J524" s="5"/>
    </row>
    <row r="525" spans="1:10">
      <c r="A525" s="9">
        <v>16</v>
      </c>
      <c r="B525" s="8" t="s">
        <v>392</v>
      </c>
      <c r="C525" s="6" t="s">
        <v>418</v>
      </c>
      <c r="D525" s="8">
        <v>1</v>
      </c>
      <c r="E525" s="8">
        <v>1.42</v>
      </c>
      <c r="F525" s="20">
        <f t="shared" si="22"/>
        <v>2.3279411764705884</v>
      </c>
      <c r="G525" s="20">
        <f>E525-F525</f>
        <v>-0.90794117647058847</v>
      </c>
      <c r="H525" s="8">
        <f>215+108</f>
        <v>323</v>
      </c>
      <c r="I525" s="9" t="s">
        <v>394</v>
      </c>
      <c r="J525" s="5"/>
    </row>
    <row r="526" spans="1:10">
      <c r="A526" s="8">
        <v>16</v>
      </c>
      <c r="B526" s="8" t="s">
        <v>392</v>
      </c>
      <c r="C526" s="6" t="s">
        <v>419</v>
      </c>
      <c r="D526" s="8">
        <v>1</v>
      </c>
      <c r="E526" s="8">
        <v>1.02</v>
      </c>
      <c r="F526" s="20">
        <f t="shared" si="22"/>
        <v>2.3279411764705884</v>
      </c>
      <c r="G526" s="20">
        <f>E526-F526</f>
        <v>-1.3079411764705884</v>
      </c>
      <c r="H526" s="8">
        <f>75+64</f>
        <v>139</v>
      </c>
      <c r="I526" s="9" t="s">
        <v>394</v>
      </c>
      <c r="J526" s="5"/>
    </row>
    <row r="527" spans="1:10">
      <c r="A527" s="9">
        <v>16</v>
      </c>
      <c r="B527" s="8" t="s">
        <v>392</v>
      </c>
      <c r="C527" s="6" t="s">
        <v>420</v>
      </c>
      <c r="D527" s="8">
        <v>1</v>
      </c>
      <c r="E527" s="8">
        <v>1.19</v>
      </c>
      <c r="F527" s="20">
        <f t="shared" si="22"/>
        <v>2.3279411764705884</v>
      </c>
      <c r="G527" s="20">
        <f>E527-F527</f>
        <v>-1.1379411764705885</v>
      </c>
      <c r="H527" s="8">
        <f>78+100</f>
        <v>178</v>
      </c>
      <c r="I527" s="9" t="s">
        <v>394</v>
      </c>
      <c r="J527" s="5"/>
    </row>
    <row r="528" spans="1:10">
      <c r="A528" s="8">
        <v>16</v>
      </c>
      <c r="B528" s="8" t="s">
        <v>392</v>
      </c>
      <c r="C528" s="6" t="s">
        <v>421</v>
      </c>
      <c r="D528" s="8">
        <v>1</v>
      </c>
      <c r="E528" s="8">
        <v>4.79</v>
      </c>
      <c r="F528" s="20">
        <f t="shared" si="22"/>
        <v>2.3279411764705884</v>
      </c>
      <c r="G528" s="20">
        <f>E528-F528</f>
        <v>2.4620588235294116</v>
      </c>
      <c r="H528" s="8">
        <f>170+61</f>
        <v>231</v>
      </c>
      <c r="I528" s="9" t="s">
        <v>394</v>
      </c>
      <c r="J528" s="5"/>
    </row>
    <row r="529" spans="1:10">
      <c r="A529" s="9">
        <v>16</v>
      </c>
      <c r="B529" s="8" t="s">
        <v>392</v>
      </c>
      <c r="C529" s="8" t="s">
        <v>422</v>
      </c>
      <c r="D529" s="8">
        <v>1</v>
      </c>
      <c r="E529" s="8">
        <v>4.13</v>
      </c>
      <c r="F529" s="20">
        <f t="shared" si="22"/>
        <v>2.3279411764705884</v>
      </c>
      <c r="G529" s="20">
        <f>E529-F529</f>
        <v>1.8020588235294115</v>
      </c>
      <c r="H529" s="8">
        <f>127*2</f>
        <v>254</v>
      </c>
      <c r="I529" s="9" t="s">
        <v>394</v>
      </c>
      <c r="J529" s="5"/>
    </row>
    <row r="530" spans="1:10">
      <c r="A530" s="8">
        <v>16</v>
      </c>
      <c r="B530" s="8" t="s">
        <v>392</v>
      </c>
      <c r="C530" s="8" t="s">
        <v>423</v>
      </c>
      <c r="D530" s="8">
        <v>1</v>
      </c>
      <c r="E530" s="8">
        <v>3.25</v>
      </c>
      <c r="F530" s="20">
        <f t="shared" si="22"/>
        <v>2.3279411764705884</v>
      </c>
      <c r="G530" s="20">
        <f>E530-F530</f>
        <v>0.9220588235294116</v>
      </c>
      <c r="H530" s="8">
        <f>175+151</f>
        <v>326</v>
      </c>
      <c r="I530" s="9" t="s">
        <v>394</v>
      </c>
      <c r="J530" s="5"/>
    </row>
    <row r="531" spans="1:10">
      <c r="A531" s="9">
        <v>16</v>
      </c>
      <c r="B531" s="8" t="s">
        <v>392</v>
      </c>
      <c r="C531" s="8" t="s">
        <v>424</v>
      </c>
      <c r="D531" s="8">
        <v>1</v>
      </c>
      <c r="E531" s="8">
        <v>5.12</v>
      </c>
      <c r="F531" s="20">
        <f t="shared" si="22"/>
        <v>2.3279411764705884</v>
      </c>
      <c r="G531" s="20">
        <f>E531-F531</f>
        <v>2.7920588235294117</v>
      </c>
      <c r="H531" s="8">
        <f>67+62</f>
        <v>129</v>
      </c>
      <c r="I531" s="9" t="s">
        <v>394</v>
      </c>
      <c r="J531" s="5"/>
    </row>
    <row r="532" spans="1:10">
      <c r="A532" s="8">
        <v>16</v>
      </c>
      <c r="B532" s="8" t="s">
        <v>392</v>
      </c>
      <c r="C532" s="8" t="s">
        <v>425</v>
      </c>
      <c r="D532" s="8">
        <v>1</v>
      </c>
      <c r="E532" s="8">
        <v>4.67</v>
      </c>
      <c r="F532" s="20">
        <f t="shared" si="22"/>
        <v>2.3279411764705884</v>
      </c>
      <c r="G532" s="20">
        <f>E532-F532</f>
        <v>2.3420588235294115</v>
      </c>
      <c r="H532" s="8">
        <f>65+62</f>
        <v>127</v>
      </c>
      <c r="I532" s="9" t="s">
        <v>394</v>
      </c>
      <c r="J532" s="5"/>
    </row>
    <row r="533" spans="1:10">
      <c r="A533" s="9">
        <v>16</v>
      </c>
      <c r="B533" s="8" t="s">
        <v>392</v>
      </c>
      <c r="C533" s="8" t="s">
        <v>426</v>
      </c>
      <c r="D533" s="8">
        <v>1</v>
      </c>
      <c r="E533" s="8">
        <v>1.77</v>
      </c>
      <c r="F533" s="20">
        <f t="shared" si="22"/>
        <v>2.3279411764705884</v>
      </c>
      <c r="G533" s="20">
        <f>E533-F533</f>
        <v>-0.55794117647058838</v>
      </c>
      <c r="H533" s="8">
        <f>129</f>
        <v>129</v>
      </c>
      <c r="I533" s="9" t="s">
        <v>394</v>
      </c>
      <c r="J533" s="5"/>
    </row>
    <row r="534" spans="1:10">
      <c r="A534" s="8">
        <v>16</v>
      </c>
      <c r="B534" s="8" t="s">
        <v>392</v>
      </c>
      <c r="C534" s="8" t="s">
        <v>427</v>
      </c>
      <c r="D534" s="8">
        <v>1</v>
      </c>
      <c r="E534" s="8">
        <v>2.44</v>
      </c>
      <c r="F534" s="20">
        <f t="shared" si="22"/>
        <v>2.3279411764705884</v>
      </c>
      <c r="G534" s="20">
        <f>E534-F534</f>
        <v>0.11205882352941154</v>
      </c>
      <c r="H534" s="8">
        <v>73</v>
      </c>
      <c r="I534" s="9" t="s">
        <v>394</v>
      </c>
      <c r="J534" s="5"/>
    </row>
    <row r="535" spans="1:10" s="13" customFormat="1">
      <c r="A535" s="9">
        <v>17</v>
      </c>
      <c r="B535" s="9" t="s">
        <v>428</v>
      </c>
      <c r="C535" s="9" t="s">
        <v>429</v>
      </c>
      <c r="D535" s="9">
        <v>1</v>
      </c>
      <c r="E535" s="9">
        <v>11.75</v>
      </c>
      <c r="F535" s="27">
        <f>AVERAGE(E$535:E$561)</f>
        <v>20.937777777777779</v>
      </c>
      <c r="G535" s="27">
        <f>E535-F535</f>
        <v>-9.1877777777777787</v>
      </c>
      <c r="H535" s="8">
        <v>109</v>
      </c>
      <c r="I535" s="9" t="s">
        <v>430</v>
      </c>
      <c r="J535" s="22" t="s">
        <v>618</v>
      </c>
    </row>
    <row r="536" spans="1:10">
      <c r="A536" s="8">
        <v>17</v>
      </c>
      <c r="B536" s="8" t="s">
        <v>428</v>
      </c>
      <c r="C536" s="6" t="s">
        <v>431</v>
      </c>
      <c r="D536" s="8">
        <v>1</v>
      </c>
      <c r="E536" s="8">
        <v>3.58</v>
      </c>
      <c r="F536" s="20">
        <f t="shared" ref="F536:F561" si="23">AVERAGE(E$535:E$561)</f>
        <v>20.937777777777779</v>
      </c>
      <c r="G536" s="20">
        <f>E536-F536</f>
        <v>-17.357777777777777</v>
      </c>
      <c r="H536" s="8">
        <v>109</v>
      </c>
      <c r="I536" s="9" t="s">
        <v>430</v>
      </c>
      <c r="J536" s="5"/>
    </row>
    <row r="537" spans="1:10">
      <c r="A537" s="9">
        <v>17</v>
      </c>
      <c r="B537" s="8" t="s">
        <v>428</v>
      </c>
      <c r="C537" s="6" t="s">
        <v>432</v>
      </c>
      <c r="D537" s="8">
        <v>1</v>
      </c>
      <c r="E537" s="8">
        <v>19.440000000000001</v>
      </c>
      <c r="F537" s="20">
        <f t="shared" si="23"/>
        <v>20.937777777777779</v>
      </c>
      <c r="G537" s="20">
        <f>E537-F537</f>
        <v>-1.4977777777777774</v>
      </c>
      <c r="H537" s="8">
        <v>109</v>
      </c>
      <c r="I537" s="9" t="s">
        <v>430</v>
      </c>
      <c r="J537" s="5"/>
    </row>
    <row r="538" spans="1:10">
      <c r="A538" s="8">
        <v>17</v>
      </c>
      <c r="B538" s="8" t="s">
        <v>428</v>
      </c>
      <c r="C538" s="6" t="s">
        <v>433</v>
      </c>
      <c r="D538" s="8">
        <v>1</v>
      </c>
      <c r="E538" s="8">
        <v>37.21</v>
      </c>
      <c r="F538" s="20">
        <f t="shared" si="23"/>
        <v>20.937777777777779</v>
      </c>
      <c r="G538" s="20">
        <f>E538-F538</f>
        <v>16.272222222222222</v>
      </c>
      <c r="H538" s="8">
        <v>109</v>
      </c>
      <c r="I538" s="9" t="s">
        <v>430</v>
      </c>
      <c r="J538" s="5"/>
    </row>
    <row r="539" spans="1:10">
      <c r="A539" s="9">
        <v>17</v>
      </c>
      <c r="B539" s="8" t="s">
        <v>428</v>
      </c>
      <c r="C539" s="6" t="s">
        <v>434</v>
      </c>
      <c r="D539" s="8">
        <v>1</v>
      </c>
      <c r="E539" s="8">
        <v>36.61</v>
      </c>
      <c r="F539" s="20">
        <f t="shared" si="23"/>
        <v>20.937777777777779</v>
      </c>
      <c r="G539" s="20">
        <f>E539-F539</f>
        <v>15.672222222222221</v>
      </c>
      <c r="H539" s="8">
        <v>109</v>
      </c>
      <c r="I539" s="9" t="s">
        <v>430</v>
      </c>
      <c r="J539" s="5"/>
    </row>
    <row r="540" spans="1:10">
      <c r="A540" s="8">
        <v>17</v>
      </c>
      <c r="B540" s="8" t="s">
        <v>428</v>
      </c>
      <c r="C540" s="6" t="s">
        <v>435</v>
      </c>
      <c r="D540" s="8">
        <v>1</v>
      </c>
      <c r="E540" s="8">
        <v>47.88</v>
      </c>
      <c r="F540" s="20">
        <f t="shared" si="23"/>
        <v>20.937777777777779</v>
      </c>
      <c r="G540" s="20">
        <f>E540-F540</f>
        <v>26.942222222222224</v>
      </c>
      <c r="H540" s="8">
        <v>109</v>
      </c>
      <c r="I540" s="9" t="s">
        <v>430</v>
      </c>
      <c r="J540" s="5"/>
    </row>
    <row r="541" spans="1:10">
      <c r="A541" s="9">
        <v>17</v>
      </c>
      <c r="B541" s="8" t="s">
        <v>428</v>
      </c>
      <c r="C541" s="6" t="s">
        <v>436</v>
      </c>
      <c r="D541" s="8">
        <v>1</v>
      </c>
      <c r="E541" s="20">
        <v>0</v>
      </c>
      <c r="F541" s="20">
        <f t="shared" si="23"/>
        <v>20.937777777777779</v>
      </c>
      <c r="G541" s="20">
        <f>E541-F541</f>
        <v>-20.937777777777779</v>
      </c>
      <c r="H541" s="8">
        <v>109</v>
      </c>
      <c r="I541" s="9" t="s">
        <v>430</v>
      </c>
      <c r="J541" s="5"/>
    </row>
    <row r="542" spans="1:10">
      <c r="A542" s="8">
        <v>17</v>
      </c>
      <c r="B542" s="8" t="s">
        <v>428</v>
      </c>
      <c r="C542" s="6" t="s">
        <v>437</v>
      </c>
      <c r="D542" s="8">
        <v>1</v>
      </c>
      <c r="E542" s="8">
        <v>13.07</v>
      </c>
      <c r="F542" s="20">
        <f t="shared" si="23"/>
        <v>20.937777777777779</v>
      </c>
      <c r="G542" s="20">
        <f>E542-F542</f>
        <v>-7.8677777777777784</v>
      </c>
      <c r="H542" s="8">
        <v>109</v>
      </c>
      <c r="I542" s="9" t="s">
        <v>430</v>
      </c>
      <c r="J542" s="5"/>
    </row>
    <row r="543" spans="1:10">
      <c r="A543" s="9">
        <v>17</v>
      </c>
      <c r="B543" s="8" t="s">
        <v>428</v>
      </c>
      <c r="C543" s="6" t="s">
        <v>438</v>
      </c>
      <c r="D543" s="8">
        <v>1</v>
      </c>
      <c r="E543" s="20">
        <v>22.6</v>
      </c>
      <c r="F543" s="20">
        <f t="shared" si="23"/>
        <v>20.937777777777779</v>
      </c>
      <c r="G543" s="20">
        <f>E543-F543</f>
        <v>1.6622222222222227</v>
      </c>
      <c r="H543" s="8">
        <v>109</v>
      </c>
      <c r="I543" s="9" t="s">
        <v>430</v>
      </c>
      <c r="J543" s="5"/>
    </row>
    <row r="544" spans="1:10">
      <c r="A544" s="8">
        <v>17</v>
      </c>
      <c r="B544" s="8" t="s">
        <v>428</v>
      </c>
      <c r="C544" s="6" t="s">
        <v>439</v>
      </c>
      <c r="D544" s="8">
        <v>1</v>
      </c>
      <c r="E544" s="8">
        <v>9.77</v>
      </c>
      <c r="F544" s="20">
        <f t="shared" si="23"/>
        <v>20.937777777777779</v>
      </c>
      <c r="G544" s="20">
        <f>E544-F544</f>
        <v>-11.167777777777779</v>
      </c>
      <c r="H544" s="8">
        <v>109</v>
      </c>
      <c r="I544" s="9" t="s">
        <v>430</v>
      </c>
      <c r="J544" s="5"/>
    </row>
    <row r="545" spans="1:10">
      <c r="A545" s="9">
        <v>17</v>
      </c>
      <c r="B545" s="8" t="s">
        <v>428</v>
      </c>
      <c r="C545" s="6" t="s">
        <v>440</v>
      </c>
      <c r="D545" s="8">
        <v>1</v>
      </c>
      <c r="E545" s="8">
        <v>6.64</v>
      </c>
      <c r="F545" s="20">
        <f t="shared" si="23"/>
        <v>20.937777777777779</v>
      </c>
      <c r="G545" s="20">
        <f>E545-F545</f>
        <v>-14.297777777777778</v>
      </c>
      <c r="H545" s="8">
        <v>109</v>
      </c>
      <c r="I545" s="9" t="s">
        <v>430</v>
      </c>
      <c r="J545" s="5"/>
    </row>
    <row r="546" spans="1:10">
      <c r="A546" s="8">
        <v>17</v>
      </c>
      <c r="B546" s="8" t="s">
        <v>428</v>
      </c>
      <c r="C546" s="6" t="s">
        <v>441</v>
      </c>
      <c r="D546" s="8">
        <v>1</v>
      </c>
      <c r="E546" s="8">
        <v>32.69</v>
      </c>
      <c r="F546" s="20">
        <f t="shared" si="23"/>
        <v>20.937777777777779</v>
      </c>
      <c r="G546" s="20">
        <f>E546-F546</f>
        <v>11.752222222222219</v>
      </c>
      <c r="H546" s="8">
        <v>109</v>
      </c>
      <c r="I546" s="9" t="s">
        <v>430</v>
      </c>
      <c r="J546" s="5"/>
    </row>
    <row r="547" spans="1:10">
      <c r="A547" s="9">
        <v>17</v>
      </c>
      <c r="B547" s="8" t="s">
        <v>428</v>
      </c>
      <c r="C547" s="6" t="s">
        <v>442</v>
      </c>
      <c r="D547" s="8">
        <v>1</v>
      </c>
      <c r="E547" s="8">
        <v>41.76</v>
      </c>
      <c r="F547" s="20">
        <f t="shared" si="23"/>
        <v>20.937777777777779</v>
      </c>
      <c r="G547" s="20">
        <f>E547-F547</f>
        <v>20.822222222222219</v>
      </c>
      <c r="H547" s="8">
        <v>109</v>
      </c>
      <c r="I547" s="9" t="s">
        <v>430</v>
      </c>
      <c r="J547" s="5"/>
    </row>
    <row r="548" spans="1:10">
      <c r="A548" s="8">
        <v>17</v>
      </c>
      <c r="B548" s="8" t="s">
        <v>428</v>
      </c>
      <c r="C548" s="6" t="s">
        <v>443</v>
      </c>
      <c r="D548" s="8">
        <v>1</v>
      </c>
      <c r="E548" s="8">
        <v>22.95</v>
      </c>
      <c r="F548" s="20">
        <f t="shared" si="23"/>
        <v>20.937777777777779</v>
      </c>
      <c r="G548" s="20">
        <f>E548-F548</f>
        <v>2.0122222222222206</v>
      </c>
      <c r="H548" s="8">
        <v>109</v>
      </c>
      <c r="I548" s="9" t="s">
        <v>430</v>
      </c>
      <c r="J548" s="5"/>
    </row>
    <row r="549" spans="1:10">
      <c r="A549" s="9">
        <v>17</v>
      </c>
      <c r="B549" s="8" t="s">
        <v>428</v>
      </c>
      <c r="C549" s="6" t="s">
        <v>444</v>
      </c>
      <c r="D549" s="8">
        <v>1</v>
      </c>
      <c r="E549" s="8">
        <v>23.66</v>
      </c>
      <c r="F549" s="20">
        <f t="shared" si="23"/>
        <v>20.937777777777779</v>
      </c>
      <c r="G549" s="20">
        <f>E549-F549</f>
        <v>2.7222222222222214</v>
      </c>
      <c r="H549" s="8">
        <v>109</v>
      </c>
      <c r="I549" s="9" t="s">
        <v>430</v>
      </c>
      <c r="J549" s="5"/>
    </row>
    <row r="550" spans="1:10">
      <c r="A550" s="8">
        <v>17</v>
      </c>
      <c r="B550" s="8" t="s">
        <v>428</v>
      </c>
      <c r="C550" s="6" t="s">
        <v>445</v>
      </c>
      <c r="D550" s="8">
        <v>1</v>
      </c>
      <c r="E550" s="8">
        <v>23.27</v>
      </c>
      <c r="F550" s="20">
        <f t="shared" si="23"/>
        <v>20.937777777777779</v>
      </c>
      <c r="G550" s="20">
        <f>E550-F550</f>
        <v>2.3322222222222209</v>
      </c>
      <c r="H550" s="8">
        <v>109</v>
      </c>
      <c r="I550" s="9" t="s">
        <v>430</v>
      </c>
      <c r="J550" s="5"/>
    </row>
    <row r="551" spans="1:10">
      <c r="A551" s="9">
        <v>17</v>
      </c>
      <c r="B551" s="8" t="s">
        <v>428</v>
      </c>
      <c r="C551" s="6" t="s">
        <v>446</v>
      </c>
      <c r="D551" s="8">
        <v>1</v>
      </c>
      <c r="E551" s="8">
        <v>20.96</v>
      </c>
      <c r="F551" s="20">
        <f t="shared" si="23"/>
        <v>20.937777777777779</v>
      </c>
      <c r="G551" s="20">
        <f>E551-F551</f>
        <v>2.2222222222222143E-2</v>
      </c>
      <c r="H551" s="8">
        <v>109</v>
      </c>
      <c r="I551" s="9" t="s">
        <v>430</v>
      </c>
      <c r="J551" s="5"/>
    </row>
    <row r="552" spans="1:10">
      <c r="A552" s="8">
        <v>17</v>
      </c>
      <c r="B552" s="8" t="s">
        <v>428</v>
      </c>
      <c r="C552" s="6" t="s">
        <v>447</v>
      </c>
      <c r="D552" s="8">
        <v>1</v>
      </c>
      <c r="E552" s="8">
        <v>20.59</v>
      </c>
      <c r="F552" s="20">
        <f t="shared" si="23"/>
        <v>20.937777777777779</v>
      </c>
      <c r="G552" s="20">
        <f>E552-F552</f>
        <v>-0.34777777777777885</v>
      </c>
      <c r="H552" s="8">
        <v>109</v>
      </c>
      <c r="I552" s="9" t="s">
        <v>430</v>
      </c>
      <c r="J552" s="5"/>
    </row>
    <row r="553" spans="1:10">
      <c r="A553" s="9">
        <v>17</v>
      </c>
      <c r="B553" s="8" t="s">
        <v>428</v>
      </c>
      <c r="C553" s="6" t="s">
        <v>448</v>
      </c>
      <c r="D553" s="8">
        <v>1</v>
      </c>
      <c r="E553" s="20">
        <v>0</v>
      </c>
      <c r="F553" s="20">
        <f t="shared" si="23"/>
        <v>20.937777777777779</v>
      </c>
      <c r="G553" s="20">
        <f>E553-F553</f>
        <v>-20.937777777777779</v>
      </c>
      <c r="H553" s="8">
        <v>109</v>
      </c>
      <c r="I553" s="9" t="s">
        <v>430</v>
      </c>
      <c r="J553" s="5"/>
    </row>
    <row r="554" spans="1:10">
      <c r="A554" s="8">
        <v>17</v>
      </c>
      <c r="B554" s="8" t="s">
        <v>428</v>
      </c>
      <c r="C554" s="6" t="s">
        <v>449</v>
      </c>
      <c r="D554" s="8">
        <v>1</v>
      </c>
      <c r="E554" s="20">
        <v>22.3</v>
      </c>
      <c r="F554" s="20">
        <f t="shared" si="23"/>
        <v>20.937777777777779</v>
      </c>
      <c r="G554" s="20">
        <f>E554-F554</f>
        <v>1.362222222222222</v>
      </c>
      <c r="H554" s="8">
        <v>109</v>
      </c>
      <c r="I554" s="9" t="s">
        <v>430</v>
      </c>
      <c r="J554" s="5"/>
    </row>
    <row r="555" spans="1:10">
      <c r="A555" s="9">
        <v>17</v>
      </c>
      <c r="B555" s="8" t="s">
        <v>428</v>
      </c>
      <c r="C555" s="6" t="s">
        <v>450</v>
      </c>
      <c r="D555" s="8">
        <v>1</v>
      </c>
      <c r="E555" s="8">
        <v>27.23</v>
      </c>
      <c r="F555" s="20">
        <f t="shared" si="23"/>
        <v>20.937777777777779</v>
      </c>
      <c r="G555" s="20">
        <f>E555-F555</f>
        <v>6.2922222222222217</v>
      </c>
      <c r="H555" s="8">
        <v>109</v>
      </c>
      <c r="I555" s="9" t="s">
        <v>430</v>
      </c>
      <c r="J555" s="5"/>
    </row>
    <row r="556" spans="1:10">
      <c r="A556" s="8">
        <v>17</v>
      </c>
      <c r="B556" s="8" t="s">
        <v>428</v>
      </c>
      <c r="C556" s="6" t="s">
        <v>451</v>
      </c>
      <c r="D556" s="8">
        <v>1</v>
      </c>
      <c r="E556" s="8">
        <v>2.46</v>
      </c>
      <c r="F556" s="20">
        <f t="shared" si="23"/>
        <v>20.937777777777779</v>
      </c>
      <c r="G556" s="20">
        <f>E556-F556</f>
        <v>-18.477777777777778</v>
      </c>
      <c r="H556" s="8">
        <v>109</v>
      </c>
      <c r="I556" s="9" t="s">
        <v>430</v>
      </c>
      <c r="J556" s="5"/>
    </row>
    <row r="557" spans="1:10">
      <c r="A557" s="9">
        <v>17</v>
      </c>
      <c r="B557" s="8" t="s">
        <v>428</v>
      </c>
      <c r="C557" s="6" t="s">
        <v>452</v>
      </c>
      <c r="D557" s="8">
        <v>1</v>
      </c>
      <c r="E557" s="8">
        <v>30.97</v>
      </c>
      <c r="F557" s="20">
        <f t="shared" si="23"/>
        <v>20.937777777777779</v>
      </c>
      <c r="G557" s="20">
        <f>E557-F557</f>
        <v>10.03222222222222</v>
      </c>
      <c r="H557" s="8">
        <v>109</v>
      </c>
      <c r="I557" s="9" t="s">
        <v>430</v>
      </c>
      <c r="J557" s="5"/>
    </row>
    <row r="558" spans="1:10">
      <c r="A558" s="8">
        <v>17</v>
      </c>
      <c r="B558" s="8" t="s">
        <v>428</v>
      </c>
      <c r="C558" s="6" t="s">
        <v>453</v>
      </c>
      <c r="D558" s="8">
        <v>1</v>
      </c>
      <c r="E558" s="8">
        <v>17.440000000000001</v>
      </c>
      <c r="F558" s="20">
        <f t="shared" si="23"/>
        <v>20.937777777777779</v>
      </c>
      <c r="G558" s="20">
        <f>E558-F558</f>
        <v>-3.4977777777777774</v>
      </c>
      <c r="H558" s="8">
        <v>109</v>
      </c>
      <c r="I558" s="9" t="s">
        <v>430</v>
      </c>
      <c r="J558" s="5"/>
    </row>
    <row r="559" spans="1:10">
      <c r="A559" s="9">
        <v>17</v>
      </c>
      <c r="B559" s="6" t="s">
        <v>428</v>
      </c>
      <c r="C559" s="6" t="s">
        <v>454</v>
      </c>
      <c r="D559" s="6">
        <v>1</v>
      </c>
      <c r="E559" s="6">
        <v>29.17</v>
      </c>
      <c r="F559" s="20">
        <f t="shared" si="23"/>
        <v>20.937777777777779</v>
      </c>
      <c r="G559" s="20">
        <f>E559-F559</f>
        <v>8.232222222222223</v>
      </c>
      <c r="H559" s="8">
        <v>109</v>
      </c>
      <c r="I559" s="9" t="s">
        <v>430</v>
      </c>
      <c r="J559" s="5"/>
    </row>
    <row r="560" spans="1:10">
      <c r="A560" s="8">
        <v>17</v>
      </c>
      <c r="B560" s="8" t="s">
        <v>428</v>
      </c>
      <c r="C560" s="6" t="s">
        <v>455</v>
      </c>
      <c r="D560" s="8">
        <v>1</v>
      </c>
      <c r="E560" s="8">
        <v>26.86</v>
      </c>
      <c r="F560" s="20">
        <f t="shared" si="23"/>
        <v>20.937777777777779</v>
      </c>
      <c r="G560" s="20">
        <f>E560-F560</f>
        <v>5.9222222222222207</v>
      </c>
      <c r="H560" s="8">
        <v>109</v>
      </c>
      <c r="I560" s="9" t="s">
        <v>430</v>
      </c>
      <c r="J560" s="5"/>
    </row>
    <row r="561" spans="1:10">
      <c r="A561" s="9">
        <v>17</v>
      </c>
      <c r="B561" s="8" t="s">
        <v>428</v>
      </c>
      <c r="C561" s="8" t="s">
        <v>456</v>
      </c>
      <c r="D561" s="8">
        <v>1</v>
      </c>
      <c r="E561" s="8">
        <v>14.46</v>
      </c>
      <c r="F561" s="20">
        <f t="shared" si="23"/>
        <v>20.937777777777779</v>
      </c>
      <c r="G561" s="20">
        <f>E561-F561</f>
        <v>-6.4777777777777779</v>
      </c>
      <c r="H561" s="8">
        <v>109</v>
      </c>
      <c r="I561" s="9" t="s">
        <v>430</v>
      </c>
      <c r="J561" s="5"/>
    </row>
    <row r="562" spans="1:10" s="13" customFormat="1">
      <c r="A562" s="9">
        <v>18</v>
      </c>
      <c r="B562" s="9" t="s">
        <v>457</v>
      </c>
      <c r="C562" s="9" t="s">
        <v>439</v>
      </c>
      <c r="D562" s="9">
        <v>1</v>
      </c>
      <c r="E562" s="9">
        <v>10.3</v>
      </c>
      <c r="F562" s="27">
        <f>AVERAGE(E$562:E$564)</f>
        <v>12.033333333333333</v>
      </c>
      <c r="G562" s="27">
        <f>E562-F562</f>
        <v>-1.7333333333333325</v>
      </c>
      <c r="H562" s="9">
        <v>20</v>
      </c>
      <c r="I562" s="8" t="s">
        <v>430</v>
      </c>
      <c r="J562" s="22"/>
    </row>
    <row r="563" spans="1:10">
      <c r="A563" s="8">
        <v>18</v>
      </c>
      <c r="B563" s="8" t="s">
        <v>457</v>
      </c>
      <c r="C563" s="6" t="s">
        <v>440</v>
      </c>
      <c r="D563" s="8">
        <v>1</v>
      </c>
      <c r="E563" s="21">
        <v>0</v>
      </c>
      <c r="F563" s="20">
        <f t="shared" ref="F563:F564" si="24">AVERAGE(E$562:E$564)</f>
        <v>12.033333333333333</v>
      </c>
      <c r="G563" s="20">
        <f>E563-F563</f>
        <v>-12.033333333333333</v>
      </c>
      <c r="H563" s="8">
        <v>4</v>
      </c>
      <c r="I563" s="8" t="s">
        <v>430</v>
      </c>
      <c r="J563" s="5"/>
    </row>
    <row r="564" spans="1:10">
      <c r="A564" s="9">
        <v>18</v>
      </c>
      <c r="B564" s="8" t="s">
        <v>457</v>
      </c>
      <c r="C564" s="6" t="s">
        <v>458</v>
      </c>
      <c r="D564" s="8">
        <v>1</v>
      </c>
      <c r="E564" s="8">
        <v>25.8</v>
      </c>
      <c r="F564" s="20">
        <f t="shared" si="24"/>
        <v>12.033333333333333</v>
      </c>
      <c r="G564" s="20">
        <f>E564-F564</f>
        <v>13.766666666666667</v>
      </c>
      <c r="H564" s="21">
        <f>17*4</f>
        <v>68</v>
      </c>
      <c r="I564" s="8" t="s">
        <v>430</v>
      </c>
      <c r="J564" s="5"/>
    </row>
    <row r="565" spans="1:10">
      <c r="A565" s="8">
        <v>18</v>
      </c>
      <c r="B565" s="8" t="s">
        <v>457</v>
      </c>
      <c r="C565" s="6" t="s">
        <v>439</v>
      </c>
      <c r="D565" s="8">
        <v>2</v>
      </c>
      <c r="E565" s="8">
        <v>1.5</v>
      </c>
      <c r="F565" s="20">
        <f>AVERAGE(E$565:E$567)</f>
        <v>18.5</v>
      </c>
      <c r="G565" s="20">
        <f>E565-F565</f>
        <v>-17</v>
      </c>
      <c r="H565" s="8">
        <v>20</v>
      </c>
      <c r="I565" s="8" t="s">
        <v>430</v>
      </c>
      <c r="J565" s="5"/>
    </row>
    <row r="566" spans="1:10">
      <c r="A566" s="9">
        <v>18</v>
      </c>
      <c r="B566" s="8" t="s">
        <v>457</v>
      </c>
      <c r="C566" s="6" t="s">
        <v>440</v>
      </c>
      <c r="D566" s="8">
        <v>2</v>
      </c>
      <c r="E566" s="8">
        <v>24.3</v>
      </c>
      <c r="F566" s="20">
        <f t="shared" ref="F566:F567" si="25">AVERAGE(E$565:E$567)</f>
        <v>18.5</v>
      </c>
      <c r="G566" s="20">
        <f>E566-F566</f>
        <v>5.8000000000000007</v>
      </c>
      <c r="H566" s="21">
        <v>4</v>
      </c>
      <c r="I566" s="8" t="s">
        <v>430</v>
      </c>
      <c r="J566" s="5"/>
    </row>
    <row r="567" spans="1:10">
      <c r="A567" s="8">
        <v>18</v>
      </c>
      <c r="B567" s="8" t="s">
        <v>457</v>
      </c>
      <c r="C567" s="6" t="s">
        <v>458</v>
      </c>
      <c r="D567" s="8">
        <v>2</v>
      </c>
      <c r="E567" s="8">
        <v>29.7</v>
      </c>
      <c r="F567" s="20">
        <f t="shared" si="25"/>
        <v>18.5</v>
      </c>
      <c r="G567" s="20">
        <f>E567-F567</f>
        <v>11.2</v>
      </c>
      <c r="H567" s="8">
        <f>13*3</f>
        <v>39</v>
      </c>
      <c r="I567" s="8" t="s">
        <v>430</v>
      </c>
      <c r="J567" s="5"/>
    </row>
    <row r="568" spans="1:10" s="13" customFormat="1">
      <c r="A568" s="9">
        <v>19</v>
      </c>
      <c r="B568" s="9" t="s">
        <v>459</v>
      </c>
      <c r="C568" s="9" t="s">
        <v>460</v>
      </c>
      <c r="D568" s="9">
        <v>1</v>
      </c>
      <c r="E568" s="9">
        <v>4.0999999999999996</v>
      </c>
      <c r="F568" s="27">
        <f>AVERAGE(E$568:E$569)</f>
        <v>12.8</v>
      </c>
      <c r="G568" s="27">
        <f>E568-F568</f>
        <v>-8.7000000000000011</v>
      </c>
      <c r="H568" s="8">
        <v>85</v>
      </c>
      <c r="I568" s="9"/>
      <c r="J568" s="22"/>
    </row>
    <row r="569" spans="1:10">
      <c r="A569" s="8">
        <v>19</v>
      </c>
      <c r="B569" s="8" t="s">
        <v>459</v>
      </c>
      <c r="C569" s="6" t="s">
        <v>442</v>
      </c>
      <c r="D569" s="8">
        <v>1</v>
      </c>
      <c r="E569" s="8">
        <v>21.5</v>
      </c>
      <c r="F569" s="20">
        <f t="shared" ref="F569" si="26">AVERAGE(E$568:E$569)</f>
        <v>12.8</v>
      </c>
      <c r="G569" s="20">
        <f>E569-F569</f>
        <v>8.6999999999999993</v>
      </c>
      <c r="H569" s="8">
        <v>305</v>
      </c>
      <c r="J569" s="5"/>
    </row>
    <row r="570" spans="1:10">
      <c r="A570" s="8">
        <v>19</v>
      </c>
      <c r="B570" s="8" t="s">
        <v>459</v>
      </c>
      <c r="C570" s="6" t="s">
        <v>440</v>
      </c>
      <c r="D570" s="8">
        <v>2</v>
      </c>
      <c r="E570" s="8">
        <v>4.3</v>
      </c>
      <c r="F570" s="20">
        <f>AVERAGE(E$570:E$571)</f>
        <v>24.75</v>
      </c>
      <c r="G570" s="20">
        <f>E570-F570</f>
        <v>-20.45</v>
      </c>
      <c r="H570" s="9">
        <v>320</v>
      </c>
      <c r="J570" s="5"/>
    </row>
    <row r="571" spans="1:10">
      <c r="A571" s="8">
        <v>19</v>
      </c>
      <c r="B571" s="8" t="s">
        <v>459</v>
      </c>
      <c r="C571" s="6" t="s">
        <v>442</v>
      </c>
      <c r="D571" s="8">
        <v>2</v>
      </c>
      <c r="E571" s="8">
        <v>45.2</v>
      </c>
      <c r="F571" s="20">
        <f>AVERAGE(E$570:E$571)</f>
        <v>24.75</v>
      </c>
      <c r="G571" s="20">
        <f>E571-F571</f>
        <v>20.450000000000003</v>
      </c>
      <c r="H571" s="8">
        <v>382</v>
      </c>
      <c r="J571" s="5"/>
    </row>
    <row r="572" spans="1:10" s="13" customFormat="1">
      <c r="A572" s="9">
        <v>20</v>
      </c>
      <c r="B572" s="9" t="s">
        <v>461</v>
      </c>
      <c r="C572" s="9" t="s">
        <v>462</v>
      </c>
      <c r="D572" s="9">
        <v>1</v>
      </c>
      <c r="E572" s="9">
        <v>9</v>
      </c>
      <c r="F572" s="27">
        <f>AVERAGE(E$572:E$581)</f>
        <v>14.5</v>
      </c>
      <c r="G572" s="27">
        <f>E572-F572</f>
        <v>-5.5</v>
      </c>
      <c r="H572" s="9">
        <v>181</v>
      </c>
      <c r="I572" s="9" t="s">
        <v>463</v>
      </c>
      <c r="J572" s="22"/>
    </row>
    <row r="573" spans="1:10">
      <c r="A573" s="8">
        <v>20</v>
      </c>
      <c r="B573" s="8" t="s">
        <v>461</v>
      </c>
      <c r="C573" s="6" t="s">
        <v>460</v>
      </c>
      <c r="D573" s="8">
        <v>1</v>
      </c>
      <c r="E573" s="8">
        <v>9</v>
      </c>
      <c r="F573" s="20">
        <f t="shared" ref="F573:F581" si="27">AVERAGE(E$572:E$581)</f>
        <v>14.5</v>
      </c>
      <c r="G573" s="20">
        <f>E573-F573</f>
        <v>-5.5</v>
      </c>
      <c r="H573" s="8">
        <v>6</v>
      </c>
      <c r="J573" s="5"/>
    </row>
    <row r="574" spans="1:10">
      <c r="A574" s="9">
        <v>20</v>
      </c>
      <c r="B574" s="8" t="s">
        <v>461</v>
      </c>
      <c r="C574" s="6" t="s">
        <v>464</v>
      </c>
      <c r="D574" s="8">
        <v>1</v>
      </c>
      <c r="E574" s="8">
        <v>0</v>
      </c>
      <c r="F574" s="20">
        <f t="shared" si="27"/>
        <v>14.5</v>
      </c>
      <c r="G574" s="20">
        <f>E574-F574</f>
        <v>-14.5</v>
      </c>
      <c r="H574" s="8">
        <v>13</v>
      </c>
      <c r="J574" s="5"/>
    </row>
    <row r="575" spans="1:10">
      <c r="A575" s="8">
        <v>20</v>
      </c>
      <c r="B575" s="8" t="s">
        <v>461</v>
      </c>
      <c r="C575" s="6" t="s">
        <v>465</v>
      </c>
      <c r="D575" s="8">
        <v>1</v>
      </c>
      <c r="E575" s="8">
        <v>0</v>
      </c>
      <c r="F575" s="20">
        <f t="shared" si="27"/>
        <v>14.5</v>
      </c>
      <c r="G575" s="20">
        <f>E575-F575</f>
        <v>-14.5</v>
      </c>
      <c r="H575" s="8">
        <v>49</v>
      </c>
      <c r="J575" s="5"/>
    </row>
    <row r="576" spans="1:10">
      <c r="A576" s="9">
        <v>20</v>
      </c>
      <c r="B576" s="8" t="s">
        <v>461</v>
      </c>
      <c r="C576" s="6" t="s">
        <v>466</v>
      </c>
      <c r="D576" s="8">
        <v>1</v>
      </c>
      <c r="E576" s="8">
        <v>9</v>
      </c>
      <c r="F576" s="20">
        <f t="shared" si="27"/>
        <v>14.5</v>
      </c>
      <c r="G576" s="20">
        <f>E576-F576</f>
        <v>-5.5</v>
      </c>
      <c r="H576" s="8">
        <v>15</v>
      </c>
      <c r="J576" s="5"/>
    </row>
    <row r="577" spans="1:10">
      <c r="A577" s="8">
        <v>20</v>
      </c>
      <c r="B577" s="8" t="s">
        <v>461</v>
      </c>
      <c r="C577" s="6" t="s">
        <v>467</v>
      </c>
      <c r="D577" s="8">
        <v>1</v>
      </c>
      <c r="E577" s="8">
        <v>48</v>
      </c>
      <c r="F577" s="20">
        <f t="shared" si="27"/>
        <v>14.5</v>
      </c>
      <c r="G577" s="20">
        <f>E577-F577</f>
        <v>33.5</v>
      </c>
      <c r="H577" s="8">
        <v>64</v>
      </c>
      <c r="J577" s="5"/>
    </row>
    <row r="578" spans="1:10">
      <c r="A578" s="9">
        <v>20</v>
      </c>
      <c r="B578" s="8" t="s">
        <v>461</v>
      </c>
      <c r="C578" s="6" t="s">
        <v>468</v>
      </c>
      <c r="D578" s="8">
        <v>1</v>
      </c>
      <c r="E578" s="8">
        <v>5</v>
      </c>
      <c r="F578" s="20">
        <f t="shared" si="27"/>
        <v>14.5</v>
      </c>
      <c r="G578" s="20">
        <f>E578-F578</f>
        <v>-9.5</v>
      </c>
      <c r="H578" s="8">
        <v>36</v>
      </c>
      <c r="J578" s="5"/>
    </row>
    <row r="579" spans="1:10">
      <c r="A579" s="8">
        <v>20</v>
      </c>
      <c r="B579" s="8" t="s">
        <v>461</v>
      </c>
      <c r="C579" s="6" t="s">
        <v>469</v>
      </c>
      <c r="D579" s="8">
        <v>1</v>
      </c>
      <c r="E579" s="8">
        <v>30</v>
      </c>
      <c r="F579" s="20">
        <f t="shared" si="27"/>
        <v>14.5</v>
      </c>
      <c r="G579" s="20">
        <f>E579-F579</f>
        <v>15.5</v>
      </c>
      <c r="H579" s="8">
        <v>22</v>
      </c>
      <c r="J579" s="5"/>
    </row>
    <row r="580" spans="1:10">
      <c r="A580" s="9">
        <v>20</v>
      </c>
      <c r="B580" s="8" t="s">
        <v>461</v>
      </c>
      <c r="C580" s="6" t="s">
        <v>452</v>
      </c>
      <c r="D580" s="8">
        <v>1</v>
      </c>
      <c r="E580" s="8">
        <v>5</v>
      </c>
      <c r="F580" s="20">
        <f t="shared" si="27"/>
        <v>14.5</v>
      </c>
      <c r="G580" s="20">
        <f>E580-F580</f>
        <v>-9.5</v>
      </c>
      <c r="H580" s="8">
        <v>170</v>
      </c>
      <c r="J580" s="5"/>
    </row>
    <row r="581" spans="1:10">
      <c r="A581" s="8">
        <v>20</v>
      </c>
      <c r="B581" s="8" t="s">
        <v>461</v>
      </c>
      <c r="C581" s="6" t="s">
        <v>470</v>
      </c>
      <c r="D581" s="8">
        <v>1</v>
      </c>
      <c r="E581" s="8">
        <v>30</v>
      </c>
      <c r="F581" s="20">
        <f t="shared" si="27"/>
        <v>14.5</v>
      </c>
      <c r="G581" s="20">
        <f>E581-F581</f>
        <v>15.5</v>
      </c>
      <c r="H581" s="8">
        <v>77</v>
      </c>
      <c r="J581" s="5"/>
    </row>
    <row r="582" spans="1:10" s="13" customFormat="1">
      <c r="A582" s="9">
        <v>21</v>
      </c>
      <c r="B582" s="9" t="s">
        <v>471</v>
      </c>
      <c r="C582" s="9" t="s">
        <v>472</v>
      </c>
      <c r="D582" s="9">
        <v>1</v>
      </c>
      <c r="E582" s="9">
        <v>0</v>
      </c>
      <c r="F582" s="27">
        <v>3.8</v>
      </c>
      <c r="G582" s="27">
        <f>E582-F582</f>
        <v>-3.8</v>
      </c>
      <c r="H582" s="9">
        <v>34</v>
      </c>
      <c r="I582" s="9" t="s">
        <v>473</v>
      </c>
      <c r="J582" s="22"/>
    </row>
    <row r="583" spans="1:10">
      <c r="A583" s="8">
        <v>21</v>
      </c>
      <c r="B583" s="8" t="s">
        <v>471</v>
      </c>
      <c r="C583" s="6" t="s">
        <v>474</v>
      </c>
      <c r="D583" s="8">
        <v>1</v>
      </c>
      <c r="E583" s="8">
        <v>7.6</v>
      </c>
      <c r="F583" s="20">
        <v>3.8</v>
      </c>
      <c r="G583" s="20">
        <f>E583-F583</f>
        <v>3.8</v>
      </c>
      <c r="H583" s="8">
        <v>303</v>
      </c>
      <c r="J583" s="5"/>
    </row>
    <row r="584" spans="1:10" s="13" customFormat="1">
      <c r="A584" s="9">
        <v>22</v>
      </c>
      <c r="B584" s="9" t="s">
        <v>475</v>
      </c>
      <c r="C584" s="17" t="s">
        <v>476</v>
      </c>
      <c r="D584" s="9">
        <v>1</v>
      </c>
      <c r="E584" s="9">
        <v>4.0999999999999996</v>
      </c>
      <c r="F584" s="27">
        <f>AVERAGE(E$584:E$589)</f>
        <v>6.7833333333333323</v>
      </c>
      <c r="G584" s="27">
        <f>E584-F584</f>
        <v>-2.6833333333333327</v>
      </c>
      <c r="H584" s="9">
        <f>0.15*500</f>
        <v>75</v>
      </c>
      <c r="I584" s="9" t="s">
        <v>477</v>
      </c>
      <c r="J584" s="22" t="s">
        <v>619</v>
      </c>
    </row>
    <row r="585" spans="1:10">
      <c r="A585" s="8">
        <v>22</v>
      </c>
      <c r="B585" s="8" t="s">
        <v>475</v>
      </c>
      <c r="C585" s="12" t="s">
        <v>478</v>
      </c>
      <c r="D585" s="6">
        <v>1</v>
      </c>
      <c r="E585" s="8">
        <v>2.8</v>
      </c>
      <c r="F585" s="20">
        <f t="shared" ref="F585:F589" si="28">AVERAGE(E$584:E$589)</f>
        <v>6.7833333333333323</v>
      </c>
      <c r="G585" s="20">
        <f>E585-F585</f>
        <v>-3.9833333333333325</v>
      </c>
      <c r="H585" s="8">
        <f>0.09*500</f>
        <v>45</v>
      </c>
      <c r="I585" s="8" t="s">
        <v>477</v>
      </c>
      <c r="J585" s="5"/>
    </row>
    <row r="586" spans="1:10">
      <c r="A586" s="8">
        <v>22</v>
      </c>
      <c r="B586" s="8" t="s">
        <v>475</v>
      </c>
      <c r="C586" s="28" t="s">
        <v>479</v>
      </c>
      <c r="D586" s="6">
        <v>1</v>
      </c>
      <c r="E586" s="8">
        <v>6.2</v>
      </c>
      <c r="F586" s="20">
        <f t="shared" si="28"/>
        <v>6.7833333333333323</v>
      </c>
      <c r="G586" s="20">
        <f>E586-F586</f>
        <v>-0.58333333333333215</v>
      </c>
      <c r="H586" s="8">
        <f>500*0.15</f>
        <v>75</v>
      </c>
      <c r="I586" s="8" t="s">
        <v>477</v>
      </c>
      <c r="J586" s="5"/>
    </row>
    <row r="587" spans="1:10">
      <c r="A587" s="8">
        <v>22</v>
      </c>
      <c r="B587" s="8" t="s">
        <v>475</v>
      </c>
      <c r="C587" s="28" t="s">
        <v>480</v>
      </c>
      <c r="D587" s="6">
        <v>1</v>
      </c>
      <c r="E587" s="8">
        <v>2.2999999999999998</v>
      </c>
      <c r="F587" s="20">
        <f t="shared" si="28"/>
        <v>6.7833333333333323</v>
      </c>
      <c r="G587" s="20">
        <f>E587-F587</f>
        <v>-4.4833333333333325</v>
      </c>
      <c r="H587" s="8">
        <f>0.14*500</f>
        <v>70</v>
      </c>
      <c r="I587" s="8" t="s">
        <v>477</v>
      </c>
      <c r="J587" s="5"/>
    </row>
    <row r="588" spans="1:10">
      <c r="A588" s="8">
        <v>22</v>
      </c>
      <c r="B588" s="8" t="s">
        <v>475</v>
      </c>
      <c r="C588" s="6" t="s">
        <v>259</v>
      </c>
      <c r="D588" s="6">
        <v>1</v>
      </c>
      <c r="E588" s="8">
        <v>7.9</v>
      </c>
      <c r="F588" s="20">
        <f t="shared" si="28"/>
        <v>6.7833333333333323</v>
      </c>
      <c r="G588" s="20">
        <f>E588-F588</f>
        <v>1.116666666666668</v>
      </c>
      <c r="H588" s="8">
        <v>100</v>
      </c>
      <c r="I588" s="8" t="s">
        <v>477</v>
      </c>
      <c r="J588" s="5"/>
    </row>
    <row r="589" spans="1:10">
      <c r="A589" s="8">
        <v>22</v>
      </c>
      <c r="B589" s="8" t="s">
        <v>475</v>
      </c>
      <c r="C589" s="6" t="s">
        <v>254</v>
      </c>
      <c r="D589" s="6">
        <v>1</v>
      </c>
      <c r="E589" s="8">
        <v>17.399999999999999</v>
      </c>
      <c r="F589" s="20">
        <f t="shared" si="28"/>
        <v>6.7833333333333323</v>
      </c>
      <c r="G589" s="20">
        <f>E589-F589</f>
        <v>10.616666666666667</v>
      </c>
      <c r="H589" s="8">
        <f>0.06*500</f>
        <v>30</v>
      </c>
      <c r="I589" s="8" t="s">
        <v>477</v>
      </c>
      <c r="J589" s="5"/>
    </row>
    <row r="590" spans="1:10" s="13" customFormat="1">
      <c r="A590" s="9">
        <v>23</v>
      </c>
      <c r="B590" s="9" t="s">
        <v>481</v>
      </c>
      <c r="C590" s="22" t="s">
        <v>482</v>
      </c>
      <c r="D590" s="9">
        <v>1</v>
      </c>
      <c r="E590" s="9">
        <v>27</v>
      </c>
      <c r="F590" s="27">
        <f>AVERAGE(E$590:E$594)</f>
        <v>27</v>
      </c>
      <c r="G590" s="27">
        <f>E590-F590</f>
        <v>0</v>
      </c>
      <c r="H590" s="9">
        <v>100</v>
      </c>
      <c r="I590" s="9" t="s">
        <v>228</v>
      </c>
      <c r="J590" s="22" t="s">
        <v>620</v>
      </c>
    </row>
    <row r="591" spans="1:10">
      <c r="A591" s="8">
        <v>23</v>
      </c>
      <c r="B591" s="8" t="s">
        <v>481</v>
      </c>
      <c r="C591" s="5" t="s">
        <v>231</v>
      </c>
      <c r="D591" s="6">
        <v>1</v>
      </c>
      <c r="E591" s="8">
        <v>7</v>
      </c>
      <c r="F591" s="20">
        <f t="shared" ref="F591:F594" si="29">AVERAGE(E$590:E$594)</f>
        <v>27</v>
      </c>
      <c r="G591" s="20">
        <f>E591-F591</f>
        <v>-20</v>
      </c>
      <c r="H591" s="8">
        <v>100</v>
      </c>
      <c r="I591" s="8" t="s">
        <v>228</v>
      </c>
      <c r="J591" s="5"/>
    </row>
    <row r="592" spans="1:10">
      <c r="A592" s="9">
        <v>23</v>
      </c>
      <c r="B592" s="6" t="s">
        <v>481</v>
      </c>
      <c r="C592" s="5" t="s">
        <v>230</v>
      </c>
      <c r="D592" s="6">
        <v>1</v>
      </c>
      <c r="E592" s="6">
        <v>84</v>
      </c>
      <c r="F592" s="20">
        <f t="shared" si="29"/>
        <v>27</v>
      </c>
      <c r="G592" s="20">
        <f>E592-F592</f>
        <v>57</v>
      </c>
      <c r="H592" s="8">
        <v>100</v>
      </c>
      <c r="I592" s="8" t="s">
        <v>228</v>
      </c>
      <c r="J592" s="5"/>
    </row>
    <row r="593" spans="1:10">
      <c r="A593" s="8">
        <v>23</v>
      </c>
      <c r="B593" s="8" t="s">
        <v>481</v>
      </c>
      <c r="C593" s="6" t="s">
        <v>483</v>
      </c>
      <c r="D593" s="6">
        <v>1</v>
      </c>
      <c r="E593" s="8">
        <v>6</v>
      </c>
      <c r="F593" s="20">
        <f t="shared" si="29"/>
        <v>27</v>
      </c>
      <c r="G593" s="20">
        <f>E593-F593</f>
        <v>-21</v>
      </c>
      <c r="H593" s="8">
        <v>100</v>
      </c>
      <c r="I593" s="8" t="s">
        <v>228</v>
      </c>
      <c r="J593" s="5"/>
    </row>
    <row r="594" spans="1:10">
      <c r="A594" s="9">
        <v>23</v>
      </c>
      <c r="B594" s="8" t="s">
        <v>481</v>
      </c>
      <c r="C594" s="5" t="s">
        <v>484</v>
      </c>
      <c r="D594" s="6">
        <v>1</v>
      </c>
      <c r="E594" s="8">
        <v>11</v>
      </c>
      <c r="F594" s="20">
        <f t="shared" si="29"/>
        <v>27</v>
      </c>
      <c r="G594" s="20">
        <f>E594-F594</f>
        <v>-16</v>
      </c>
      <c r="H594" s="8">
        <v>100</v>
      </c>
      <c r="I594" s="6" t="s">
        <v>228</v>
      </c>
      <c r="J594" s="5"/>
    </row>
    <row r="595" spans="1:10">
      <c r="A595" s="8">
        <v>23</v>
      </c>
      <c r="B595" s="8" t="s">
        <v>481</v>
      </c>
      <c r="C595" s="5" t="s">
        <v>482</v>
      </c>
      <c r="D595" s="6">
        <v>2</v>
      </c>
      <c r="E595" s="8">
        <v>0</v>
      </c>
      <c r="F595" s="20">
        <f>AVERAGE(E$595:E$599)</f>
        <v>15.6</v>
      </c>
      <c r="G595" s="20">
        <f>E595-F595</f>
        <v>-15.6</v>
      </c>
      <c r="H595" s="8">
        <v>100</v>
      </c>
      <c r="I595" s="8" t="s">
        <v>228</v>
      </c>
      <c r="J595" s="5"/>
    </row>
    <row r="596" spans="1:10">
      <c r="A596" s="9">
        <v>23</v>
      </c>
      <c r="B596" s="8" t="s">
        <v>481</v>
      </c>
      <c r="C596" s="5" t="s">
        <v>231</v>
      </c>
      <c r="D596" s="6">
        <v>2</v>
      </c>
      <c r="E596" s="8">
        <v>4</v>
      </c>
      <c r="F596" s="20">
        <f t="shared" ref="F596:F599" si="30">AVERAGE(E$595:E$599)</f>
        <v>15.6</v>
      </c>
      <c r="G596" s="20">
        <f>E596-F596</f>
        <v>-11.6</v>
      </c>
      <c r="H596" s="8">
        <v>100</v>
      </c>
      <c r="I596" s="8" t="s">
        <v>228</v>
      </c>
      <c r="J596" s="5"/>
    </row>
    <row r="597" spans="1:10">
      <c r="A597" s="8">
        <v>23</v>
      </c>
      <c r="B597" s="8" t="s">
        <v>481</v>
      </c>
      <c r="C597" s="5" t="s">
        <v>230</v>
      </c>
      <c r="D597" s="6">
        <v>2</v>
      </c>
      <c r="E597" s="8">
        <v>63</v>
      </c>
      <c r="F597" s="20">
        <f t="shared" si="30"/>
        <v>15.6</v>
      </c>
      <c r="G597" s="20">
        <f>E597-F597</f>
        <v>47.4</v>
      </c>
      <c r="H597" s="8">
        <v>100</v>
      </c>
      <c r="I597" s="8" t="s">
        <v>228</v>
      </c>
      <c r="J597" s="5"/>
    </row>
    <row r="598" spans="1:10">
      <c r="A598" s="9">
        <v>23</v>
      </c>
      <c r="B598" s="8" t="s">
        <v>481</v>
      </c>
      <c r="C598" s="6" t="s">
        <v>483</v>
      </c>
      <c r="D598" s="6">
        <v>2</v>
      </c>
      <c r="E598" s="8">
        <v>1</v>
      </c>
      <c r="F598" s="20">
        <f t="shared" si="30"/>
        <v>15.6</v>
      </c>
      <c r="G598" s="20">
        <f>E598-F598</f>
        <v>-14.6</v>
      </c>
      <c r="H598" s="8">
        <v>100</v>
      </c>
      <c r="I598" s="8" t="s">
        <v>228</v>
      </c>
      <c r="J598" s="5"/>
    </row>
    <row r="599" spans="1:10">
      <c r="A599" s="8">
        <v>23</v>
      </c>
      <c r="B599" s="8" t="s">
        <v>481</v>
      </c>
      <c r="C599" s="5" t="s">
        <v>484</v>
      </c>
      <c r="D599" s="6">
        <v>2</v>
      </c>
      <c r="E599" s="32">
        <v>10</v>
      </c>
      <c r="F599" s="20">
        <f t="shared" si="30"/>
        <v>15.6</v>
      </c>
      <c r="G599" s="20">
        <f>E599-F599</f>
        <v>-5.6</v>
      </c>
      <c r="H599" s="8">
        <v>100</v>
      </c>
      <c r="I599" s="8" t="s">
        <v>228</v>
      </c>
      <c r="J599" s="33"/>
    </row>
    <row r="600" spans="1:10" s="13" customFormat="1">
      <c r="A600" s="9">
        <v>24</v>
      </c>
      <c r="B600" s="9" t="s">
        <v>485</v>
      </c>
      <c r="C600" s="34" t="s">
        <v>486</v>
      </c>
      <c r="D600" s="9">
        <v>1</v>
      </c>
      <c r="E600" s="35">
        <v>0</v>
      </c>
      <c r="F600" s="27">
        <f>AVERAGE(E$600:E$622)</f>
        <v>4.05</v>
      </c>
      <c r="G600" s="27">
        <f>E600-F600</f>
        <v>-4.05</v>
      </c>
      <c r="H600" s="8">
        <v>100</v>
      </c>
      <c r="I600" s="9" t="s">
        <v>237</v>
      </c>
      <c r="J600" s="22"/>
    </row>
    <row r="601" spans="1:10">
      <c r="A601" s="8">
        <v>24</v>
      </c>
      <c r="B601" s="8" t="s">
        <v>485</v>
      </c>
      <c r="C601" s="36" t="s">
        <v>487</v>
      </c>
      <c r="D601" s="6">
        <v>1</v>
      </c>
      <c r="E601" s="37">
        <v>14</v>
      </c>
      <c r="F601" s="20">
        <f t="shared" ref="F601:F622" si="31">AVERAGE(E$600:E$622)</f>
        <v>4.05</v>
      </c>
      <c r="G601" s="20">
        <f>E601-F601</f>
        <v>9.9499999999999993</v>
      </c>
      <c r="H601" s="8">
        <v>100</v>
      </c>
      <c r="I601" s="8" t="s">
        <v>237</v>
      </c>
      <c r="J601" s="22" t="s">
        <v>327</v>
      </c>
    </row>
    <row r="602" spans="1:10">
      <c r="A602" s="9">
        <v>24</v>
      </c>
      <c r="B602" s="8" t="s">
        <v>485</v>
      </c>
      <c r="C602" s="36" t="s">
        <v>488</v>
      </c>
      <c r="D602" s="6">
        <v>1</v>
      </c>
      <c r="E602" s="37">
        <v>4</v>
      </c>
      <c r="F602" s="20">
        <f t="shared" si="31"/>
        <v>4.05</v>
      </c>
      <c r="G602" s="20">
        <f>E602-F602</f>
        <v>-4.9999999999999822E-2</v>
      </c>
      <c r="H602" s="8">
        <v>100</v>
      </c>
      <c r="I602" s="8" t="s">
        <v>237</v>
      </c>
      <c r="J602" s="5"/>
    </row>
    <row r="603" spans="1:10">
      <c r="A603" s="8">
        <v>24</v>
      </c>
      <c r="B603" s="8" t="s">
        <v>485</v>
      </c>
      <c r="C603" s="36" t="s">
        <v>489</v>
      </c>
      <c r="D603" s="6">
        <v>1</v>
      </c>
      <c r="E603" s="37">
        <v>0</v>
      </c>
      <c r="F603" s="20">
        <f t="shared" si="31"/>
        <v>4.05</v>
      </c>
      <c r="G603" s="20">
        <f>E603-F603</f>
        <v>-4.05</v>
      </c>
      <c r="H603" s="8">
        <v>100</v>
      </c>
      <c r="I603" s="8" t="s">
        <v>237</v>
      </c>
      <c r="J603" s="5"/>
    </row>
    <row r="604" spans="1:10">
      <c r="A604" s="9">
        <v>24</v>
      </c>
      <c r="B604" s="8" t="s">
        <v>485</v>
      </c>
      <c r="C604" s="36" t="s">
        <v>490</v>
      </c>
      <c r="D604" s="6">
        <v>1</v>
      </c>
      <c r="E604" s="37">
        <v>0</v>
      </c>
      <c r="F604" s="20">
        <f t="shared" si="31"/>
        <v>4.05</v>
      </c>
      <c r="G604" s="20">
        <f>E604-F604</f>
        <v>-4.05</v>
      </c>
      <c r="H604" s="8">
        <v>100</v>
      </c>
      <c r="I604" s="8" t="s">
        <v>237</v>
      </c>
      <c r="J604" s="5"/>
    </row>
    <row r="605" spans="1:10" s="10" customFormat="1">
      <c r="A605" s="8">
        <v>24</v>
      </c>
      <c r="B605" s="8" t="s">
        <v>485</v>
      </c>
      <c r="C605" s="36" t="s">
        <v>491</v>
      </c>
      <c r="D605" s="6">
        <v>1</v>
      </c>
      <c r="E605" s="32"/>
      <c r="F605" s="20">
        <f t="shared" si="31"/>
        <v>4.05</v>
      </c>
      <c r="G605" s="20">
        <f>E605-F605</f>
        <v>-4.05</v>
      </c>
      <c r="H605" s="8">
        <v>100</v>
      </c>
      <c r="I605" s="8" t="s">
        <v>237</v>
      </c>
      <c r="J605" s="5"/>
    </row>
    <row r="606" spans="1:10" s="10" customFormat="1">
      <c r="A606" s="9">
        <v>24</v>
      </c>
      <c r="B606" s="8" t="s">
        <v>485</v>
      </c>
      <c r="C606" s="36" t="s">
        <v>492</v>
      </c>
      <c r="D606" s="6">
        <v>1</v>
      </c>
      <c r="E606" s="37">
        <v>21</v>
      </c>
      <c r="F606" s="20">
        <f t="shared" si="31"/>
        <v>4.05</v>
      </c>
      <c r="G606" s="20">
        <f>E606-F606</f>
        <v>16.95</v>
      </c>
      <c r="H606" s="8">
        <v>100</v>
      </c>
      <c r="I606" s="8" t="s">
        <v>237</v>
      </c>
      <c r="J606" s="5"/>
    </row>
    <row r="607" spans="1:10" s="10" customFormat="1">
      <c r="A607" s="8">
        <v>24</v>
      </c>
      <c r="B607" s="8" t="s">
        <v>485</v>
      </c>
      <c r="C607" s="36" t="s">
        <v>493</v>
      </c>
      <c r="D607" s="6">
        <v>1</v>
      </c>
      <c r="E607" s="37">
        <v>0</v>
      </c>
      <c r="F607" s="20">
        <f t="shared" si="31"/>
        <v>4.05</v>
      </c>
      <c r="G607" s="20">
        <f>E607-F607</f>
        <v>-4.05</v>
      </c>
      <c r="H607" s="8">
        <v>100</v>
      </c>
      <c r="I607" s="8" t="s">
        <v>237</v>
      </c>
      <c r="J607" s="5"/>
    </row>
    <row r="608" spans="1:10" s="10" customFormat="1">
      <c r="A608" s="9">
        <v>24</v>
      </c>
      <c r="B608" s="8" t="s">
        <v>485</v>
      </c>
      <c r="C608" s="36" t="s">
        <v>494</v>
      </c>
      <c r="D608" s="6">
        <v>1</v>
      </c>
      <c r="E608" s="37">
        <v>0</v>
      </c>
      <c r="F608" s="20">
        <f t="shared" si="31"/>
        <v>4.05</v>
      </c>
      <c r="G608" s="20">
        <f>E608-F608</f>
        <v>-4.05</v>
      </c>
      <c r="H608" s="8">
        <v>100</v>
      </c>
      <c r="I608" s="8" t="s">
        <v>237</v>
      </c>
      <c r="J608" s="5"/>
    </row>
    <row r="609" spans="1:10" s="10" customFormat="1">
      <c r="A609" s="8">
        <v>24</v>
      </c>
      <c r="B609" s="8" t="s">
        <v>485</v>
      </c>
      <c r="C609" s="36" t="s">
        <v>495</v>
      </c>
      <c r="D609" s="6">
        <v>1</v>
      </c>
      <c r="E609" s="37">
        <v>0</v>
      </c>
      <c r="F609" s="20">
        <f t="shared" si="31"/>
        <v>4.05</v>
      </c>
      <c r="G609" s="20">
        <f>E609-F609</f>
        <v>-4.05</v>
      </c>
      <c r="H609" s="8">
        <v>100</v>
      </c>
      <c r="I609" s="8" t="s">
        <v>237</v>
      </c>
      <c r="J609" s="5"/>
    </row>
    <row r="610" spans="1:10" s="10" customFormat="1">
      <c r="A610" s="9">
        <v>24</v>
      </c>
      <c r="B610" s="8" t="s">
        <v>485</v>
      </c>
      <c r="C610" s="36" t="s">
        <v>496</v>
      </c>
      <c r="D610" s="6">
        <v>1</v>
      </c>
      <c r="E610" s="37">
        <v>6</v>
      </c>
      <c r="F610" s="20">
        <f t="shared" si="31"/>
        <v>4.05</v>
      </c>
      <c r="G610" s="20">
        <f>E610-F610</f>
        <v>1.9500000000000002</v>
      </c>
      <c r="H610" s="8">
        <v>100</v>
      </c>
      <c r="I610" s="8" t="s">
        <v>237</v>
      </c>
      <c r="J610" s="5"/>
    </row>
    <row r="611" spans="1:10" s="10" customFormat="1">
      <c r="A611" s="8">
        <v>24</v>
      </c>
      <c r="B611" s="8" t="s">
        <v>485</v>
      </c>
      <c r="C611" s="36" t="s">
        <v>497</v>
      </c>
      <c r="D611" s="6">
        <v>1</v>
      </c>
      <c r="E611" s="37">
        <v>0</v>
      </c>
      <c r="F611" s="20">
        <f t="shared" si="31"/>
        <v>4.05</v>
      </c>
      <c r="G611" s="20">
        <f>E611-F611</f>
        <v>-4.05</v>
      </c>
      <c r="H611" s="8">
        <v>100</v>
      </c>
      <c r="I611" s="8" t="s">
        <v>237</v>
      </c>
      <c r="J611" s="5"/>
    </row>
    <row r="612" spans="1:10" s="10" customFormat="1">
      <c r="A612" s="9">
        <v>24</v>
      </c>
      <c r="B612" s="8" t="s">
        <v>485</v>
      </c>
      <c r="C612" s="36" t="s">
        <v>498</v>
      </c>
      <c r="D612" s="6">
        <v>1</v>
      </c>
      <c r="E612" s="32"/>
      <c r="F612" s="20">
        <f t="shared" si="31"/>
        <v>4.05</v>
      </c>
      <c r="G612" s="20">
        <f>E612-F612</f>
        <v>-4.05</v>
      </c>
      <c r="H612" s="8">
        <v>100</v>
      </c>
      <c r="I612" s="8" t="s">
        <v>237</v>
      </c>
      <c r="J612" s="5"/>
    </row>
    <row r="613" spans="1:10" s="10" customFormat="1">
      <c r="A613" s="8">
        <v>24</v>
      </c>
      <c r="B613" s="8" t="s">
        <v>485</v>
      </c>
      <c r="C613" s="36" t="s">
        <v>499</v>
      </c>
      <c r="D613" s="6">
        <v>1</v>
      </c>
      <c r="E613" s="32"/>
      <c r="F613" s="20">
        <f t="shared" si="31"/>
        <v>4.05</v>
      </c>
      <c r="G613" s="20">
        <f>E613-F613</f>
        <v>-4.05</v>
      </c>
      <c r="H613" s="8">
        <v>100</v>
      </c>
      <c r="I613" s="8" t="s">
        <v>237</v>
      </c>
      <c r="J613" s="5"/>
    </row>
    <row r="614" spans="1:10" s="10" customFormat="1">
      <c r="A614" s="9">
        <v>24</v>
      </c>
      <c r="B614" s="8" t="s">
        <v>485</v>
      </c>
      <c r="C614" s="36" t="s">
        <v>500</v>
      </c>
      <c r="D614" s="6">
        <v>1</v>
      </c>
      <c r="E614" s="37">
        <v>0</v>
      </c>
      <c r="F614" s="20">
        <f t="shared" si="31"/>
        <v>4.05</v>
      </c>
      <c r="G614" s="20">
        <f>E614-F614</f>
        <v>-4.05</v>
      </c>
      <c r="H614" s="8">
        <v>100</v>
      </c>
      <c r="I614" s="8" t="s">
        <v>237</v>
      </c>
      <c r="J614" s="5"/>
    </row>
    <row r="615" spans="1:10" s="10" customFormat="1">
      <c r="A615" s="8">
        <v>24</v>
      </c>
      <c r="B615" s="8" t="s">
        <v>485</v>
      </c>
      <c r="C615" s="36" t="s">
        <v>501</v>
      </c>
      <c r="D615" s="6">
        <v>1</v>
      </c>
      <c r="E615" s="37">
        <v>0</v>
      </c>
      <c r="F615" s="20">
        <f t="shared" si="31"/>
        <v>4.05</v>
      </c>
      <c r="G615" s="20">
        <f>E615-F615</f>
        <v>-4.05</v>
      </c>
      <c r="H615" s="8">
        <v>100</v>
      </c>
      <c r="I615" s="8" t="s">
        <v>237</v>
      </c>
      <c r="J615" s="5"/>
    </row>
    <row r="616" spans="1:10" s="10" customFormat="1">
      <c r="A616" s="9">
        <v>24</v>
      </c>
      <c r="B616" s="8" t="s">
        <v>485</v>
      </c>
      <c r="C616" s="38" t="s">
        <v>502</v>
      </c>
      <c r="D616" s="6">
        <v>1</v>
      </c>
      <c r="E616" s="37">
        <v>0</v>
      </c>
      <c r="F616" s="20">
        <f t="shared" si="31"/>
        <v>4.05</v>
      </c>
      <c r="G616" s="20">
        <f>E616-F616</f>
        <v>-4.05</v>
      </c>
      <c r="H616" s="8">
        <v>100</v>
      </c>
      <c r="I616" s="8" t="s">
        <v>237</v>
      </c>
      <c r="J616" s="5"/>
    </row>
    <row r="617" spans="1:10" s="10" customFormat="1">
      <c r="A617" s="8">
        <v>24</v>
      </c>
      <c r="B617" s="8" t="s">
        <v>485</v>
      </c>
      <c r="C617" s="38" t="s">
        <v>259</v>
      </c>
      <c r="D617" s="6">
        <v>1</v>
      </c>
      <c r="E617" s="37">
        <v>5</v>
      </c>
      <c r="F617" s="20">
        <f t="shared" si="31"/>
        <v>4.05</v>
      </c>
      <c r="G617" s="20">
        <f>E617-F617</f>
        <v>0.95000000000000018</v>
      </c>
      <c r="H617" s="8">
        <v>100</v>
      </c>
      <c r="I617" s="8" t="s">
        <v>237</v>
      </c>
      <c r="J617" s="5"/>
    </row>
    <row r="618" spans="1:10" s="10" customFormat="1">
      <c r="A618" s="9">
        <v>24</v>
      </c>
      <c r="B618" s="8" t="s">
        <v>485</v>
      </c>
      <c r="C618" s="36" t="s">
        <v>503</v>
      </c>
      <c r="D618" s="6">
        <v>1</v>
      </c>
      <c r="E618" s="39">
        <v>7</v>
      </c>
      <c r="F618" s="20">
        <f t="shared" si="31"/>
        <v>4.05</v>
      </c>
      <c r="G618" s="20">
        <f>E618-F618</f>
        <v>2.95</v>
      </c>
      <c r="H618" s="8">
        <v>100</v>
      </c>
      <c r="I618" s="8" t="s">
        <v>237</v>
      </c>
      <c r="J618" s="5"/>
    </row>
    <row r="619" spans="1:10" s="10" customFormat="1">
      <c r="A619" s="8">
        <v>24</v>
      </c>
      <c r="B619" s="8" t="s">
        <v>485</v>
      </c>
      <c r="C619" s="38" t="s">
        <v>504</v>
      </c>
      <c r="D619" s="6">
        <v>1</v>
      </c>
      <c r="E619" s="37">
        <v>0</v>
      </c>
      <c r="F619" s="20">
        <f t="shared" si="31"/>
        <v>4.05</v>
      </c>
      <c r="G619" s="20">
        <f>E619-F619</f>
        <v>-4.05</v>
      </c>
      <c r="H619" s="8">
        <v>100</v>
      </c>
      <c r="I619" s="8" t="s">
        <v>237</v>
      </c>
      <c r="J619" s="5"/>
    </row>
    <row r="620" spans="1:10" s="10" customFormat="1">
      <c r="A620" s="9">
        <v>24</v>
      </c>
      <c r="B620" s="8" t="s">
        <v>485</v>
      </c>
      <c r="C620" s="38" t="s">
        <v>505</v>
      </c>
      <c r="D620" s="6">
        <v>1</v>
      </c>
      <c r="E620" s="37">
        <v>20</v>
      </c>
      <c r="F620" s="20">
        <f t="shared" si="31"/>
        <v>4.05</v>
      </c>
      <c r="G620" s="20">
        <f>E620-F620</f>
        <v>15.95</v>
      </c>
      <c r="H620" s="8">
        <v>100</v>
      </c>
      <c r="I620" s="8" t="s">
        <v>237</v>
      </c>
      <c r="J620" s="5"/>
    </row>
    <row r="621" spans="1:10" s="10" customFormat="1">
      <c r="A621" s="8">
        <v>24</v>
      </c>
      <c r="B621" s="8" t="s">
        <v>485</v>
      </c>
      <c r="C621" s="38" t="s">
        <v>506</v>
      </c>
      <c r="D621" s="6">
        <v>1</v>
      </c>
      <c r="E621" s="37">
        <v>0</v>
      </c>
      <c r="F621" s="20">
        <f t="shared" si="31"/>
        <v>4.05</v>
      </c>
      <c r="G621" s="20">
        <f>E621-F621</f>
        <v>-4.05</v>
      </c>
      <c r="H621" s="8">
        <v>100</v>
      </c>
      <c r="I621" s="8" t="s">
        <v>237</v>
      </c>
      <c r="J621" s="5"/>
    </row>
    <row r="622" spans="1:10" s="10" customFormat="1">
      <c r="A622" s="9">
        <v>24</v>
      </c>
      <c r="B622" s="8" t="s">
        <v>485</v>
      </c>
      <c r="C622" s="36" t="s">
        <v>507</v>
      </c>
      <c r="D622" s="6">
        <v>1</v>
      </c>
      <c r="E622" s="39">
        <v>4</v>
      </c>
      <c r="F622" s="20">
        <f t="shared" si="31"/>
        <v>4.05</v>
      </c>
      <c r="G622" s="20">
        <f>E622-F622</f>
        <v>-4.9999999999999822E-2</v>
      </c>
      <c r="H622" s="8">
        <v>100</v>
      </c>
      <c r="I622" s="8" t="s">
        <v>237</v>
      </c>
      <c r="J622" s="5"/>
    </row>
    <row r="623" spans="1:10" s="18" customFormat="1">
      <c r="A623" s="9">
        <v>25</v>
      </c>
      <c r="B623" s="9" t="s">
        <v>508</v>
      </c>
      <c r="C623" s="40" t="s">
        <v>509</v>
      </c>
      <c r="D623" s="9">
        <v>1</v>
      </c>
      <c r="E623" s="9">
        <v>20</v>
      </c>
      <c r="F623" s="27">
        <f>AVERAGE(E$623:E$643)</f>
        <v>17.690476190476197</v>
      </c>
      <c r="G623" s="27">
        <f>E623-F623</f>
        <v>2.3095238095238031</v>
      </c>
      <c r="H623" s="24">
        <v>1103</v>
      </c>
      <c r="I623" s="9" t="s">
        <v>510</v>
      </c>
      <c r="J623" s="22"/>
    </row>
    <row r="624" spans="1:10" s="10" customFormat="1">
      <c r="A624" s="8">
        <v>25</v>
      </c>
      <c r="B624" s="8" t="s">
        <v>508</v>
      </c>
      <c r="C624" s="41" t="s">
        <v>511</v>
      </c>
      <c r="D624" s="6">
        <v>1</v>
      </c>
      <c r="E624" s="8">
        <v>9.9</v>
      </c>
      <c r="F624" s="20">
        <f t="shared" ref="F624:F643" si="32">AVERAGE(E$623:E$643)</f>
        <v>17.690476190476197</v>
      </c>
      <c r="G624" s="20">
        <f>E624-F624</f>
        <v>-7.7904761904761965</v>
      </c>
      <c r="H624" s="23">
        <v>185</v>
      </c>
      <c r="I624" s="8" t="s">
        <v>510</v>
      </c>
      <c r="J624" s="5"/>
    </row>
    <row r="625" spans="1:10" s="10" customFormat="1">
      <c r="A625" s="9">
        <v>25</v>
      </c>
      <c r="B625" s="8" t="s">
        <v>508</v>
      </c>
      <c r="C625" s="41" t="s">
        <v>512</v>
      </c>
      <c r="D625" s="6">
        <v>1</v>
      </c>
      <c r="E625" s="8">
        <v>11.200000000000001</v>
      </c>
      <c r="F625" s="20">
        <f t="shared" si="32"/>
        <v>17.690476190476197</v>
      </c>
      <c r="G625" s="20">
        <f>E625-F625</f>
        <v>-6.4904761904761958</v>
      </c>
      <c r="H625" s="23">
        <v>65</v>
      </c>
      <c r="I625" s="8" t="s">
        <v>510</v>
      </c>
      <c r="J625" s="5"/>
    </row>
    <row r="626" spans="1:10" s="10" customFormat="1">
      <c r="A626" s="8">
        <v>25</v>
      </c>
      <c r="B626" s="8" t="s">
        <v>508</v>
      </c>
      <c r="C626" s="41" t="s">
        <v>513</v>
      </c>
      <c r="D626" s="6">
        <v>1</v>
      </c>
      <c r="E626" s="8">
        <v>1.7999999999999998</v>
      </c>
      <c r="F626" s="20">
        <f t="shared" si="32"/>
        <v>17.690476190476197</v>
      </c>
      <c r="G626" s="20">
        <f>E626-F626</f>
        <v>-15.890476190476196</v>
      </c>
      <c r="H626" s="23">
        <v>29</v>
      </c>
      <c r="I626" s="8" t="s">
        <v>510</v>
      </c>
      <c r="J626" s="5"/>
    </row>
    <row r="627" spans="1:10" s="10" customFormat="1">
      <c r="A627" s="9">
        <v>25</v>
      </c>
      <c r="B627" s="8" t="s">
        <v>508</v>
      </c>
      <c r="C627" s="41" t="s">
        <v>514</v>
      </c>
      <c r="D627" s="6">
        <v>1</v>
      </c>
      <c r="E627" s="8">
        <v>12.9</v>
      </c>
      <c r="F627" s="20">
        <f t="shared" si="32"/>
        <v>17.690476190476197</v>
      </c>
      <c r="G627" s="20">
        <f>E627-F627</f>
        <v>-4.7904761904761965</v>
      </c>
      <c r="H627" s="23">
        <v>66</v>
      </c>
      <c r="I627" s="8" t="s">
        <v>510</v>
      </c>
      <c r="J627" s="5"/>
    </row>
    <row r="628" spans="1:10" s="10" customFormat="1">
      <c r="A628" s="8">
        <v>25</v>
      </c>
      <c r="B628" s="8" t="s">
        <v>508</v>
      </c>
      <c r="C628" s="41" t="s">
        <v>515</v>
      </c>
      <c r="D628" s="6">
        <v>1</v>
      </c>
      <c r="E628" s="8">
        <v>11.600000000000001</v>
      </c>
      <c r="F628" s="20">
        <f t="shared" si="32"/>
        <v>17.690476190476197</v>
      </c>
      <c r="G628" s="20">
        <f>E628-F628</f>
        <v>-6.0904761904761955</v>
      </c>
      <c r="H628" s="23">
        <v>96</v>
      </c>
      <c r="I628" s="8" t="s">
        <v>510</v>
      </c>
      <c r="J628" s="5"/>
    </row>
    <row r="629" spans="1:10" s="10" customFormat="1">
      <c r="A629" s="9">
        <v>25</v>
      </c>
      <c r="B629" s="8" t="s">
        <v>508</v>
      </c>
      <c r="C629" s="41" t="s">
        <v>516</v>
      </c>
      <c r="D629" s="6">
        <v>1</v>
      </c>
      <c r="E629" s="8">
        <v>20.5</v>
      </c>
      <c r="F629" s="20">
        <f t="shared" si="32"/>
        <v>17.690476190476197</v>
      </c>
      <c r="G629" s="20">
        <f>E629-F629</f>
        <v>2.8095238095238031</v>
      </c>
      <c r="H629" s="23">
        <v>321</v>
      </c>
      <c r="I629" s="8" t="s">
        <v>510</v>
      </c>
      <c r="J629" s="5"/>
    </row>
    <row r="630" spans="1:10" s="10" customFormat="1">
      <c r="A630" s="8">
        <v>25</v>
      </c>
      <c r="B630" s="8" t="s">
        <v>508</v>
      </c>
      <c r="C630" s="41" t="s">
        <v>517</v>
      </c>
      <c r="D630" s="6">
        <v>1</v>
      </c>
      <c r="E630" s="8">
        <v>12.6</v>
      </c>
      <c r="F630" s="20">
        <f t="shared" si="32"/>
        <v>17.690476190476197</v>
      </c>
      <c r="G630" s="20">
        <f>E630-F630</f>
        <v>-5.0904761904761973</v>
      </c>
      <c r="H630" s="23">
        <v>157</v>
      </c>
      <c r="I630" s="8" t="s">
        <v>510</v>
      </c>
      <c r="J630" s="5"/>
    </row>
    <row r="631" spans="1:10" s="10" customFormat="1">
      <c r="A631" s="9">
        <v>25</v>
      </c>
      <c r="B631" s="8" t="s">
        <v>508</v>
      </c>
      <c r="C631" s="41" t="s">
        <v>444</v>
      </c>
      <c r="D631" s="6">
        <v>1</v>
      </c>
      <c r="E631" s="8">
        <v>20</v>
      </c>
      <c r="F631" s="20">
        <f t="shared" si="32"/>
        <v>17.690476190476197</v>
      </c>
      <c r="G631" s="20">
        <f>E631-F631</f>
        <v>2.3095238095238031</v>
      </c>
      <c r="H631" s="23">
        <v>481</v>
      </c>
      <c r="I631" s="8" t="s">
        <v>510</v>
      </c>
      <c r="J631" s="5"/>
    </row>
    <row r="632" spans="1:10" s="10" customFormat="1">
      <c r="A632" s="8">
        <v>25</v>
      </c>
      <c r="B632" s="8" t="s">
        <v>508</v>
      </c>
      <c r="C632" s="41" t="s">
        <v>518</v>
      </c>
      <c r="D632" s="6">
        <v>1</v>
      </c>
      <c r="E632" s="8">
        <v>36</v>
      </c>
      <c r="F632" s="20">
        <f t="shared" si="32"/>
        <v>17.690476190476197</v>
      </c>
      <c r="G632" s="20">
        <f>E632-F632</f>
        <v>18.309523809523803</v>
      </c>
      <c r="H632" s="23">
        <v>823</v>
      </c>
      <c r="I632" s="8" t="s">
        <v>510</v>
      </c>
      <c r="J632" s="5"/>
    </row>
    <row r="633" spans="1:10" s="10" customFormat="1">
      <c r="A633" s="9">
        <v>25</v>
      </c>
      <c r="B633" s="8" t="s">
        <v>508</v>
      </c>
      <c r="C633" s="41" t="s">
        <v>519</v>
      </c>
      <c r="D633" s="6">
        <v>1</v>
      </c>
      <c r="E633" s="8">
        <v>27.800000000000004</v>
      </c>
      <c r="F633" s="20">
        <f t="shared" si="32"/>
        <v>17.690476190476197</v>
      </c>
      <c r="G633" s="20">
        <f>E633-F633</f>
        <v>10.109523809523807</v>
      </c>
      <c r="H633" s="23">
        <v>169</v>
      </c>
      <c r="I633" s="8" t="s">
        <v>510</v>
      </c>
      <c r="J633" s="5"/>
    </row>
    <row r="634" spans="1:10" s="10" customFormat="1">
      <c r="A634" s="8">
        <v>25</v>
      </c>
      <c r="B634" s="8" t="s">
        <v>508</v>
      </c>
      <c r="C634" s="41" t="s">
        <v>520</v>
      </c>
      <c r="D634" s="6">
        <v>1</v>
      </c>
      <c r="E634" s="8">
        <v>35.299999999999997</v>
      </c>
      <c r="F634" s="20">
        <f t="shared" si="32"/>
        <v>17.690476190476197</v>
      </c>
      <c r="G634" s="20">
        <f>E634-F634</f>
        <v>17.6095238095238</v>
      </c>
      <c r="H634" s="23">
        <v>2805</v>
      </c>
      <c r="I634" s="8" t="s">
        <v>510</v>
      </c>
      <c r="J634" s="5"/>
    </row>
    <row r="635" spans="1:10" s="10" customFormat="1">
      <c r="A635" s="9">
        <v>25</v>
      </c>
      <c r="B635" s="8" t="s">
        <v>508</v>
      </c>
      <c r="C635" s="41" t="s">
        <v>521</v>
      </c>
      <c r="D635" s="6">
        <v>1</v>
      </c>
      <c r="E635" s="8">
        <v>31.4</v>
      </c>
      <c r="F635" s="20">
        <f t="shared" si="32"/>
        <v>17.690476190476197</v>
      </c>
      <c r="G635" s="20">
        <f>E635-F635</f>
        <v>13.709523809523802</v>
      </c>
      <c r="H635" s="23">
        <v>204</v>
      </c>
      <c r="I635" s="8" t="s">
        <v>510</v>
      </c>
      <c r="J635" s="5"/>
    </row>
    <row r="636" spans="1:10" s="10" customFormat="1">
      <c r="A636" s="8">
        <v>25</v>
      </c>
      <c r="B636" s="8" t="s">
        <v>508</v>
      </c>
      <c r="C636" s="41" t="s">
        <v>522</v>
      </c>
      <c r="D636" s="6">
        <v>1</v>
      </c>
      <c r="E636" s="8">
        <v>2.6</v>
      </c>
      <c r="F636" s="20">
        <f t="shared" si="32"/>
        <v>17.690476190476197</v>
      </c>
      <c r="G636" s="20">
        <f>E636-F636</f>
        <v>-15.090476190476197</v>
      </c>
      <c r="H636" s="23">
        <v>40</v>
      </c>
      <c r="I636" s="8" t="s">
        <v>510</v>
      </c>
      <c r="J636" s="5"/>
    </row>
    <row r="637" spans="1:10">
      <c r="A637" s="9">
        <v>25</v>
      </c>
      <c r="B637" s="8" t="s">
        <v>508</v>
      </c>
      <c r="C637" s="41" t="s">
        <v>523</v>
      </c>
      <c r="D637" s="6">
        <v>1</v>
      </c>
      <c r="E637" s="8">
        <v>1.6</v>
      </c>
      <c r="F637" s="20">
        <f t="shared" si="32"/>
        <v>17.690476190476197</v>
      </c>
      <c r="G637" s="20">
        <f>E637-F637</f>
        <v>-16.090476190476195</v>
      </c>
      <c r="H637" s="23">
        <v>26</v>
      </c>
      <c r="I637" s="8" t="s">
        <v>510</v>
      </c>
      <c r="J637" s="5"/>
    </row>
    <row r="638" spans="1:10">
      <c r="A638" s="8">
        <v>25</v>
      </c>
      <c r="B638" s="8" t="s">
        <v>508</v>
      </c>
      <c r="C638" s="41" t="s">
        <v>524</v>
      </c>
      <c r="D638" s="6">
        <v>1</v>
      </c>
      <c r="E638" s="8">
        <v>18.399999999999999</v>
      </c>
      <c r="F638" s="20">
        <f t="shared" si="32"/>
        <v>17.690476190476197</v>
      </c>
      <c r="G638" s="20">
        <f>E638-F638</f>
        <v>0.70952380952380167</v>
      </c>
      <c r="H638" s="23">
        <v>46</v>
      </c>
      <c r="I638" s="8" t="s">
        <v>510</v>
      </c>
      <c r="J638" s="5"/>
    </row>
    <row r="639" spans="1:10">
      <c r="A639" s="9">
        <v>25</v>
      </c>
      <c r="B639" s="8" t="s">
        <v>508</v>
      </c>
      <c r="C639" s="41" t="s">
        <v>453</v>
      </c>
      <c r="D639" s="6">
        <v>1</v>
      </c>
      <c r="E639" s="8">
        <v>26.1</v>
      </c>
      <c r="F639" s="20">
        <f t="shared" si="32"/>
        <v>17.690476190476197</v>
      </c>
      <c r="G639" s="20">
        <f>E639-F639</f>
        <v>8.4095238095238045</v>
      </c>
      <c r="H639" s="23">
        <v>226</v>
      </c>
      <c r="I639" s="8" t="s">
        <v>510</v>
      </c>
      <c r="J639" s="5"/>
    </row>
    <row r="640" spans="1:10">
      <c r="A640" s="8">
        <v>25</v>
      </c>
      <c r="B640" s="8" t="s">
        <v>508</v>
      </c>
      <c r="C640" s="41" t="s">
        <v>454</v>
      </c>
      <c r="D640" s="6">
        <v>1</v>
      </c>
      <c r="E640" s="8">
        <v>31.1</v>
      </c>
      <c r="F640" s="20">
        <f t="shared" si="32"/>
        <v>17.690476190476197</v>
      </c>
      <c r="G640" s="20">
        <f>E640-F640</f>
        <v>13.409523809523805</v>
      </c>
      <c r="H640" s="23">
        <v>73</v>
      </c>
      <c r="I640" s="8" t="s">
        <v>510</v>
      </c>
      <c r="J640" s="5"/>
    </row>
    <row r="641" spans="1:10">
      <c r="A641" s="9">
        <v>25</v>
      </c>
      <c r="B641" s="8" t="s">
        <v>508</v>
      </c>
      <c r="C641" s="41" t="s">
        <v>455</v>
      </c>
      <c r="D641" s="6">
        <v>1</v>
      </c>
      <c r="E641" s="8">
        <v>10.6</v>
      </c>
      <c r="F641" s="20">
        <f t="shared" si="32"/>
        <v>17.690476190476197</v>
      </c>
      <c r="G641" s="20">
        <f>E641-F641</f>
        <v>-7.0904761904761973</v>
      </c>
      <c r="H641" s="23">
        <v>178</v>
      </c>
      <c r="I641" s="8" t="s">
        <v>510</v>
      </c>
      <c r="J641" s="5"/>
    </row>
    <row r="642" spans="1:10">
      <c r="A642" s="8">
        <v>25</v>
      </c>
      <c r="B642" s="8" t="s">
        <v>508</v>
      </c>
      <c r="C642" s="42" t="s">
        <v>525</v>
      </c>
      <c r="D642" s="6">
        <v>1</v>
      </c>
      <c r="E642" s="8">
        <v>6.1</v>
      </c>
      <c r="F642" s="20">
        <f t="shared" si="32"/>
        <v>17.690476190476197</v>
      </c>
      <c r="G642" s="20">
        <f>E642-F642</f>
        <v>-11.590476190476197</v>
      </c>
      <c r="H642" s="23">
        <v>64</v>
      </c>
      <c r="I642" s="8" t="s">
        <v>510</v>
      </c>
      <c r="J642" s="5"/>
    </row>
    <row r="643" spans="1:10">
      <c r="A643" s="9">
        <v>25</v>
      </c>
      <c r="B643" s="8" t="s">
        <v>508</v>
      </c>
      <c r="C643" s="42" t="s">
        <v>456</v>
      </c>
      <c r="D643" s="6">
        <v>1</v>
      </c>
      <c r="E643" s="8">
        <v>24</v>
      </c>
      <c r="F643" s="20">
        <f t="shared" si="32"/>
        <v>17.690476190476197</v>
      </c>
      <c r="G643" s="20">
        <f>E643-F643</f>
        <v>6.3095238095238031</v>
      </c>
      <c r="H643" s="23">
        <v>60</v>
      </c>
      <c r="I643" s="8" t="s">
        <v>510</v>
      </c>
      <c r="J643" s="5"/>
    </row>
    <row r="644" spans="1:10" s="13" customFormat="1">
      <c r="A644" s="9">
        <v>26</v>
      </c>
      <c r="B644" s="9" t="s">
        <v>526</v>
      </c>
      <c r="C644" s="22" t="s">
        <v>527</v>
      </c>
      <c r="D644" s="9">
        <v>1</v>
      </c>
      <c r="E644" s="9">
        <f>100*8/38</f>
        <v>21.05263157894737</v>
      </c>
      <c r="F644" s="27">
        <f>AVERAGE(E$644:E$646)</f>
        <v>25.438596491228072</v>
      </c>
      <c r="G644" s="27">
        <f>E644-F644</f>
        <v>-4.3859649122807021</v>
      </c>
      <c r="H644" s="9">
        <v>38</v>
      </c>
      <c r="I644" s="9" t="s">
        <v>528</v>
      </c>
      <c r="J644" s="22"/>
    </row>
    <row r="645" spans="1:10">
      <c r="A645" s="8">
        <v>26</v>
      </c>
      <c r="B645" s="8" t="s">
        <v>526</v>
      </c>
      <c r="C645" s="5" t="s">
        <v>529</v>
      </c>
      <c r="D645" s="6">
        <v>1</v>
      </c>
      <c r="E645" s="8">
        <f>100*3/38</f>
        <v>7.8947368421052628</v>
      </c>
      <c r="F645" s="20">
        <f t="shared" ref="F645:F646" si="33">AVERAGE(E$644:E$646)</f>
        <v>25.438596491228072</v>
      </c>
      <c r="G645" s="20">
        <f>E645-F645</f>
        <v>-17.543859649122808</v>
      </c>
      <c r="H645" s="8">
        <v>38</v>
      </c>
      <c r="I645" s="8" t="s">
        <v>528</v>
      </c>
      <c r="J645" s="5"/>
    </row>
    <row r="646" spans="1:10">
      <c r="A646" s="8">
        <v>26</v>
      </c>
      <c r="B646" s="8" t="s">
        <v>526</v>
      </c>
      <c r="C646" s="5" t="s">
        <v>530</v>
      </c>
      <c r="D646" s="6">
        <v>1</v>
      </c>
      <c r="E646" s="8">
        <f>100*18/38</f>
        <v>47.368421052631582</v>
      </c>
      <c r="F646" s="20">
        <f t="shared" si="33"/>
        <v>25.438596491228072</v>
      </c>
      <c r="G646" s="20">
        <f>E646-F646</f>
        <v>21.92982456140351</v>
      </c>
      <c r="H646" s="8">
        <v>38</v>
      </c>
      <c r="I646" s="8" t="s">
        <v>528</v>
      </c>
      <c r="J646" s="5"/>
    </row>
    <row r="647" spans="1:10" s="13" customFormat="1">
      <c r="A647" s="9">
        <v>27</v>
      </c>
      <c r="B647" s="9" t="s">
        <v>531</v>
      </c>
      <c r="C647" s="9" t="s">
        <v>532</v>
      </c>
      <c r="D647" s="9">
        <v>1</v>
      </c>
      <c r="E647" s="9">
        <v>11</v>
      </c>
      <c r="F647" s="27">
        <f>AVERAGE(E$647:E$648)</f>
        <v>5.5</v>
      </c>
      <c r="G647" s="27">
        <f>E647-F647</f>
        <v>5.5</v>
      </c>
      <c r="H647" s="9">
        <v>102</v>
      </c>
      <c r="I647" s="9" t="s">
        <v>533</v>
      </c>
      <c r="J647" s="22"/>
    </row>
    <row r="648" spans="1:10">
      <c r="A648" s="8">
        <v>27</v>
      </c>
      <c r="B648" s="8" t="s">
        <v>531</v>
      </c>
      <c r="C648" s="8" t="s">
        <v>534</v>
      </c>
      <c r="D648" s="6">
        <v>1</v>
      </c>
      <c r="E648" s="8">
        <v>0</v>
      </c>
      <c r="F648" s="20">
        <f>AVERAGE(E$647:E$648)</f>
        <v>5.5</v>
      </c>
      <c r="G648" s="20">
        <f>E648-F648</f>
        <v>-5.5</v>
      </c>
      <c r="H648" s="8">
        <v>34</v>
      </c>
      <c r="I648" s="8" t="s">
        <v>533</v>
      </c>
      <c r="J648" s="5"/>
    </row>
    <row r="649" spans="1:10" s="13" customFormat="1">
      <c r="A649" s="9">
        <v>28</v>
      </c>
      <c r="B649" s="9" t="s">
        <v>535</v>
      </c>
      <c r="C649" s="9" t="s">
        <v>536</v>
      </c>
      <c r="D649" s="9">
        <v>1</v>
      </c>
      <c r="E649" s="9">
        <v>64</v>
      </c>
      <c r="F649" s="27">
        <f>AVERAGE(E$649:E$654)</f>
        <v>37</v>
      </c>
      <c r="G649" s="27">
        <f>E649-F649</f>
        <v>27</v>
      </c>
      <c r="H649" s="9">
        <v>31</v>
      </c>
      <c r="I649" s="9" t="s">
        <v>537</v>
      </c>
      <c r="J649" s="22"/>
    </row>
    <row r="650" spans="1:10">
      <c r="A650" s="8">
        <v>28</v>
      </c>
      <c r="B650" s="8" t="s">
        <v>535</v>
      </c>
      <c r="C650" s="6" t="s">
        <v>538</v>
      </c>
      <c r="D650" s="6">
        <v>1</v>
      </c>
      <c r="E650" s="8">
        <v>29</v>
      </c>
      <c r="F650" s="20">
        <f t="shared" ref="F650:F654" si="34">AVERAGE(E$649:E$654)</f>
        <v>37</v>
      </c>
      <c r="G650" s="20">
        <f>E650-F650</f>
        <v>-8</v>
      </c>
      <c r="H650" s="8">
        <v>28</v>
      </c>
      <c r="I650" s="8" t="s">
        <v>537</v>
      </c>
      <c r="J650" s="5"/>
    </row>
    <row r="651" spans="1:10">
      <c r="A651" s="8">
        <v>28</v>
      </c>
      <c r="B651" s="8" t="s">
        <v>535</v>
      </c>
      <c r="C651" s="6" t="s">
        <v>539</v>
      </c>
      <c r="D651" s="6">
        <v>1</v>
      </c>
      <c r="E651" s="8">
        <v>41</v>
      </c>
      <c r="F651" s="20">
        <f t="shared" si="34"/>
        <v>37</v>
      </c>
      <c r="G651" s="20">
        <f>E651-F651</f>
        <v>4</v>
      </c>
      <c r="H651" s="8">
        <v>52</v>
      </c>
      <c r="I651" s="8" t="s">
        <v>537</v>
      </c>
      <c r="J651" s="5"/>
    </row>
    <row r="652" spans="1:10">
      <c r="A652" s="8">
        <v>28</v>
      </c>
      <c r="B652" s="8" t="s">
        <v>535</v>
      </c>
      <c r="C652" s="8" t="s">
        <v>540</v>
      </c>
      <c r="D652" s="6">
        <v>1</v>
      </c>
      <c r="E652" s="8">
        <v>17</v>
      </c>
      <c r="F652" s="20">
        <f t="shared" si="34"/>
        <v>37</v>
      </c>
      <c r="G652" s="20">
        <f>E652-F652</f>
        <v>-20</v>
      </c>
      <c r="H652" s="8">
        <v>29</v>
      </c>
      <c r="I652" s="8" t="s">
        <v>537</v>
      </c>
      <c r="J652" s="5"/>
    </row>
    <row r="653" spans="1:10" s="10" customFormat="1">
      <c r="A653" s="8">
        <v>28</v>
      </c>
      <c r="B653" s="8" t="s">
        <v>535</v>
      </c>
      <c r="C653" s="8" t="s">
        <v>541</v>
      </c>
      <c r="D653" s="6">
        <v>1</v>
      </c>
      <c r="E653" s="8">
        <v>0</v>
      </c>
      <c r="F653" s="20">
        <f t="shared" si="34"/>
        <v>37</v>
      </c>
      <c r="G653" s="20">
        <f>E653-F653</f>
        <v>-37</v>
      </c>
      <c r="H653" s="8">
        <v>22</v>
      </c>
      <c r="I653" s="8" t="s">
        <v>537</v>
      </c>
      <c r="J653" s="5"/>
    </row>
    <row r="654" spans="1:10" s="16" customFormat="1">
      <c r="A654" s="15">
        <v>28</v>
      </c>
      <c r="B654" s="15" t="s">
        <v>535</v>
      </c>
      <c r="C654" s="15" t="s">
        <v>542</v>
      </c>
      <c r="D654" s="15">
        <v>1</v>
      </c>
      <c r="E654" s="15">
        <v>71</v>
      </c>
      <c r="F654" s="30">
        <f t="shared" si="34"/>
        <v>37</v>
      </c>
      <c r="G654" s="30">
        <f>E654-F654</f>
        <v>34</v>
      </c>
      <c r="H654" s="15">
        <v>46</v>
      </c>
      <c r="I654" s="15" t="s">
        <v>537</v>
      </c>
      <c r="J654" s="26"/>
    </row>
    <row r="655" spans="1:10">
      <c r="A655" s="8">
        <v>29</v>
      </c>
      <c r="B655" s="8" t="s">
        <v>543</v>
      </c>
      <c r="C655" s="25" t="s">
        <v>544</v>
      </c>
      <c r="D655" s="6">
        <v>1</v>
      </c>
      <c r="E655" s="25">
        <v>6.0523938572719063</v>
      </c>
      <c r="F655" s="8">
        <f>AVERAGE(E655:E671)</f>
        <v>4.201517091191012</v>
      </c>
      <c r="G655" s="8">
        <f>E655-F655</f>
        <v>1.8508767660808942</v>
      </c>
      <c r="H655" s="8">
        <v>2214</v>
      </c>
      <c r="I655" s="8" t="s">
        <v>545</v>
      </c>
      <c r="J655" s="5" t="s">
        <v>621</v>
      </c>
    </row>
    <row r="656" spans="1:10">
      <c r="A656" s="8">
        <v>29</v>
      </c>
      <c r="B656" s="8" t="s">
        <v>543</v>
      </c>
      <c r="C656" s="25" t="s">
        <v>546</v>
      </c>
      <c r="D656" s="6">
        <v>1</v>
      </c>
      <c r="E656" s="25">
        <v>11.261551687083601</v>
      </c>
      <c r="F656" s="8">
        <v>4.201517091191012</v>
      </c>
      <c r="G656" s="8">
        <f>E656-F656</f>
        <v>7.0600345958925894</v>
      </c>
      <c r="H656" s="8">
        <v>4653</v>
      </c>
      <c r="I656" s="8" t="s">
        <v>545</v>
      </c>
      <c r="J656" s="5"/>
    </row>
    <row r="657" spans="1:10">
      <c r="A657" s="8">
        <v>29</v>
      </c>
      <c r="B657" s="8" t="s">
        <v>543</v>
      </c>
      <c r="C657" s="25" t="s">
        <v>547</v>
      </c>
      <c r="D657" s="6">
        <v>1</v>
      </c>
      <c r="E657" s="25">
        <v>2.6931116620485147</v>
      </c>
      <c r="F657" s="8">
        <v>4.201517091191012</v>
      </c>
      <c r="G657" s="8">
        <f>E657-F657</f>
        <v>-1.5084054291424973</v>
      </c>
      <c r="H657" s="8">
        <v>20571</v>
      </c>
      <c r="I657" s="8" t="s">
        <v>545</v>
      </c>
      <c r="J657" s="5"/>
    </row>
    <row r="658" spans="1:10">
      <c r="A658" s="8">
        <v>29</v>
      </c>
      <c r="B658" s="8" t="s">
        <v>543</v>
      </c>
      <c r="C658" s="25" t="s">
        <v>548</v>
      </c>
      <c r="D658" s="6">
        <v>1</v>
      </c>
      <c r="E658" s="25">
        <v>1.2514220705346986</v>
      </c>
      <c r="F658" s="8">
        <v>4.201517091191012</v>
      </c>
      <c r="G658" s="8">
        <f>E658-F658</f>
        <v>-2.9500950206563132</v>
      </c>
      <c r="H658" s="8">
        <v>6153</v>
      </c>
      <c r="I658" s="8" t="s">
        <v>545</v>
      </c>
      <c r="J658" s="5"/>
    </row>
    <row r="659" spans="1:10">
      <c r="A659" s="8">
        <v>29</v>
      </c>
      <c r="B659" s="8" t="s">
        <v>543</v>
      </c>
      <c r="C659" s="25" t="s">
        <v>549</v>
      </c>
      <c r="D659" s="6">
        <v>1</v>
      </c>
      <c r="E659" s="25">
        <v>6.1253774817416629</v>
      </c>
      <c r="F659" s="8">
        <v>4.201517091191012</v>
      </c>
      <c r="G659" s="8">
        <f>E659-F659</f>
        <v>1.9238603905506508</v>
      </c>
      <c r="H659" s="8">
        <v>46691</v>
      </c>
      <c r="I659" s="8" t="s">
        <v>545</v>
      </c>
      <c r="J659" s="5"/>
    </row>
    <row r="660" spans="1:10">
      <c r="A660" s="8">
        <v>29</v>
      </c>
      <c r="B660" s="8" t="s">
        <v>543</v>
      </c>
      <c r="C660" s="25" t="s">
        <v>550</v>
      </c>
      <c r="D660" s="6">
        <v>1</v>
      </c>
      <c r="E660" s="25">
        <v>4.0236946028960068</v>
      </c>
      <c r="F660" s="8">
        <v>4.201517091191012</v>
      </c>
      <c r="G660" s="8">
        <f>E660-F660</f>
        <v>-0.17782248829500524</v>
      </c>
      <c r="H660" s="8">
        <v>45580</v>
      </c>
      <c r="I660" s="8" t="s">
        <v>545</v>
      </c>
      <c r="J660" s="5"/>
    </row>
    <row r="661" spans="1:10">
      <c r="A661" s="8">
        <v>29</v>
      </c>
      <c r="B661" s="8" t="s">
        <v>543</v>
      </c>
      <c r="C661" s="25" t="s">
        <v>551</v>
      </c>
      <c r="D661" s="6">
        <v>1</v>
      </c>
      <c r="E661" s="25">
        <v>5.4828519855595665</v>
      </c>
      <c r="F661" s="8">
        <v>4.201517091191012</v>
      </c>
      <c r="G661" s="8">
        <f>E661-F661</f>
        <v>1.2813348943685545</v>
      </c>
      <c r="H661" s="8">
        <v>75344</v>
      </c>
      <c r="I661" s="8" t="s">
        <v>545</v>
      </c>
      <c r="J661" s="5"/>
    </row>
    <row r="662" spans="1:10">
      <c r="A662" s="8">
        <v>29</v>
      </c>
      <c r="B662" s="8" t="s">
        <v>543</v>
      </c>
      <c r="C662" s="25" t="s">
        <v>552</v>
      </c>
      <c r="D662" s="6">
        <v>1</v>
      </c>
      <c r="E662" s="25">
        <v>2.3612668161434978</v>
      </c>
      <c r="F662" s="8">
        <v>4.201517091191012</v>
      </c>
      <c r="G662" s="8">
        <f>E662-F662</f>
        <v>-1.8402502750475143</v>
      </c>
      <c r="H662" s="8">
        <v>14272</v>
      </c>
      <c r="I662" s="8" t="s">
        <v>545</v>
      </c>
      <c r="J662" s="5"/>
    </row>
    <row r="663" spans="1:10">
      <c r="A663" s="8">
        <v>29</v>
      </c>
      <c r="B663" s="8" t="s">
        <v>543</v>
      </c>
      <c r="C663" s="25" t="s">
        <v>553</v>
      </c>
      <c r="D663" s="6">
        <v>1</v>
      </c>
      <c r="E663" s="25">
        <v>3.6531386200260374</v>
      </c>
      <c r="F663" s="8">
        <v>4.201517091191012</v>
      </c>
      <c r="G663" s="8">
        <f>E663-F663</f>
        <v>-0.54837847116497462</v>
      </c>
      <c r="H663" s="8">
        <v>88335</v>
      </c>
      <c r="I663" s="8" t="s">
        <v>545</v>
      </c>
      <c r="J663" s="5"/>
    </row>
    <row r="664" spans="1:10">
      <c r="A664" s="8">
        <v>29</v>
      </c>
      <c r="B664" s="8" t="s">
        <v>543</v>
      </c>
      <c r="C664" s="25" t="s">
        <v>554</v>
      </c>
      <c r="D664" s="6">
        <v>1</v>
      </c>
      <c r="E664" s="25">
        <v>7.5362042682926829</v>
      </c>
      <c r="F664" s="8">
        <v>4.201517091191012</v>
      </c>
      <c r="G664" s="8">
        <f>E664-F664</f>
        <v>3.3346871771016708</v>
      </c>
      <c r="H664" s="8">
        <v>10496</v>
      </c>
      <c r="I664" s="8" t="s">
        <v>545</v>
      </c>
      <c r="J664" s="5"/>
    </row>
    <row r="665" spans="1:10">
      <c r="A665" s="8">
        <v>29</v>
      </c>
      <c r="B665" s="8" t="s">
        <v>543</v>
      </c>
      <c r="C665" s="25" t="s">
        <v>555</v>
      </c>
      <c r="D665" s="6">
        <v>1</v>
      </c>
      <c r="E665" s="25">
        <v>3.2131030161997671</v>
      </c>
      <c r="F665" s="8">
        <v>4.201517091191012</v>
      </c>
      <c r="G665" s="8">
        <f>E665-F665</f>
        <v>-0.9884140749912449</v>
      </c>
      <c r="H665" s="8">
        <v>11173</v>
      </c>
      <c r="I665" s="8" t="s">
        <v>545</v>
      </c>
      <c r="J665" s="5"/>
    </row>
    <row r="666" spans="1:10">
      <c r="A666" s="8">
        <v>29</v>
      </c>
      <c r="B666" s="8" t="s">
        <v>543</v>
      </c>
      <c r="C666" s="25" t="s">
        <v>556</v>
      </c>
      <c r="D666" s="6">
        <v>1</v>
      </c>
      <c r="E666" s="25">
        <v>2.1354933726067746</v>
      </c>
      <c r="F666" s="8">
        <v>4.201517091191012</v>
      </c>
      <c r="G666" s="8">
        <f>E666-F666</f>
        <v>-2.0660237185842374</v>
      </c>
      <c r="H666" s="8">
        <v>5432</v>
      </c>
      <c r="I666" s="8" t="s">
        <v>545</v>
      </c>
      <c r="J666" s="5"/>
    </row>
    <row r="667" spans="1:10">
      <c r="A667" s="8">
        <v>29</v>
      </c>
      <c r="B667" s="8" t="s">
        <v>543</v>
      </c>
      <c r="C667" s="25" t="s">
        <v>557</v>
      </c>
      <c r="D667" s="6">
        <v>1</v>
      </c>
      <c r="E667" s="25">
        <v>2.2560283546723481</v>
      </c>
      <c r="F667" s="8">
        <v>4.201517091191012</v>
      </c>
      <c r="G667" s="8">
        <f>E667-F667</f>
        <v>-1.9454887365186639</v>
      </c>
      <c r="H667" s="8">
        <v>50221</v>
      </c>
      <c r="I667" s="8" t="s">
        <v>545</v>
      </c>
      <c r="J667" s="5"/>
    </row>
    <row r="668" spans="1:10">
      <c r="A668" s="8">
        <v>29</v>
      </c>
      <c r="B668" s="8" t="s">
        <v>543</v>
      </c>
      <c r="C668" s="25" t="s">
        <v>558</v>
      </c>
      <c r="D668" s="6">
        <v>1</v>
      </c>
      <c r="E668" s="25">
        <v>2.2545454545454544</v>
      </c>
      <c r="F668" s="8">
        <v>4.201517091191012</v>
      </c>
      <c r="G668" s="8">
        <f>E668-F668</f>
        <v>-1.9469716366455576</v>
      </c>
      <c r="H668" s="8">
        <v>4125</v>
      </c>
      <c r="I668" s="8" t="s">
        <v>545</v>
      </c>
      <c r="J668" s="5"/>
    </row>
    <row r="669" spans="1:10">
      <c r="A669" s="8">
        <v>29</v>
      </c>
      <c r="B669" s="8" t="s">
        <v>543</v>
      </c>
      <c r="C669" s="25" t="s">
        <v>559</v>
      </c>
      <c r="D669" s="6">
        <v>1</v>
      </c>
      <c r="E669" s="25">
        <v>3.3608029096266288</v>
      </c>
      <c r="F669" s="8">
        <v>4.201517091191012</v>
      </c>
      <c r="G669" s="8">
        <f>E669-F669</f>
        <v>-0.84071418156438327</v>
      </c>
      <c r="H669" s="8">
        <v>21721</v>
      </c>
      <c r="I669" s="8" t="s">
        <v>545</v>
      </c>
      <c r="J669" s="5"/>
    </row>
    <row r="670" spans="1:10">
      <c r="A670" s="8">
        <v>29</v>
      </c>
      <c r="B670" s="8" t="s">
        <v>543</v>
      </c>
      <c r="C670" s="25" t="s">
        <v>560</v>
      </c>
      <c r="D670" s="6">
        <v>1</v>
      </c>
      <c r="E670" s="25">
        <v>3.5825142265907917</v>
      </c>
      <c r="F670" s="8">
        <v>4.201517091191012</v>
      </c>
      <c r="G670" s="8">
        <f>E670-F670</f>
        <v>-0.61900286460022036</v>
      </c>
      <c r="H670" s="8">
        <v>7732</v>
      </c>
      <c r="I670" s="8" t="s">
        <v>545</v>
      </c>
      <c r="J670" s="5"/>
    </row>
    <row r="671" spans="1:10" s="14" customFormat="1">
      <c r="A671" s="15">
        <v>29</v>
      </c>
      <c r="B671" s="15" t="s">
        <v>543</v>
      </c>
      <c r="C671" s="43" t="s">
        <v>561</v>
      </c>
      <c r="D671" s="15">
        <v>1</v>
      </c>
      <c r="E671" s="43">
        <v>4.1822901644072683</v>
      </c>
      <c r="F671" s="15">
        <v>4.201517091191012</v>
      </c>
      <c r="G671" s="15">
        <f>E671-F671</f>
        <v>-1.9226926783743714E-2</v>
      </c>
      <c r="H671" s="15">
        <v>13868</v>
      </c>
      <c r="I671" s="15" t="s">
        <v>545</v>
      </c>
      <c r="J671" s="26"/>
    </row>
    <row r="672" spans="1:10">
      <c r="A672" s="8">
        <v>30</v>
      </c>
      <c r="B672" s="8" t="s">
        <v>562</v>
      </c>
      <c r="C672" s="5" t="s">
        <v>227</v>
      </c>
      <c r="D672" s="6">
        <v>1</v>
      </c>
      <c r="E672" s="8">
        <v>1.7548373504940773</v>
      </c>
      <c r="F672" s="8">
        <f>AVERAGE(E672:E674)</f>
        <v>1.1339020904687112</v>
      </c>
      <c r="G672" s="8">
        <f>E672-F672</f>
        <v>0.62093526002536614</v>
      </c>
      <c r="H672" s="8">
        <f>799*10</f>
        <v>7990</v>
      </c>
      <c r="I672" s="8" t="s">
        <v>563</v>
      </c>
      <c r="J672" s="5" t="s">
        <v>622</v>
      </c>
    </row>
    <row r="673" spans="1:10">
      <c r="A673" s="8">
        <v>30</v>
      </c>
      <c r="B673" s="8" t="s">
        <v>562</v>
      </c>
      <c r="C673" s="5" t="s">
        <v>564</v>
      </c>
      <c r="D673" s="6">
        <v>1</v>
      </c>
      <c r="E673" s="8">
        <v>0.17499369050356572</v>
      </c>
      <c r="F673" s="8">
        <v>1.1339020904687112</v>
      </c>
      <c r="G673" s="8">
        <f>E673-F673</f>
        <v>-0.95890839996514543</v>
      </c>
      <c r="H673" s="8">
        <v>7990</v>
      </c>
      <c r="I673" s="8" t="s">
        <v>563</v>
      </c>
      <c r="J673" s="5"/>
    </row>
    <row r="674" spans="1:10" s="14" customFormat="1">
      <c r="A674" s="15">
        <v>30</v>
      </c>
      <c r="B674" s="15" t="s">
        <v>562</v>
      </c>
      <c r="C674" s="26" t="s">
        <v>230</v>
      </c>
      <c r="D674" s="15">
        <v>1</v>
      </c>
      <c r="E674" s="15">
        <v>1.4718752304084903</v>
      </c>
      <c r="F674" s="15">
        <v>1.1339020904687112</v>
      </c>
      <c r="G674" s="6">
        <f>E674-F674</f>
        <v>0.33797313993977918</v>
      </c>
      <c r="H674" s="15">
        <f>179*20</f>
        <v>3580</v>
      </c>
      <c r="I674" s="15" t="s">
        <v>563</v>
      </c>
      <c r="J674" s="26"/>
    </row>
    <row r="675" spans="1:10">
      <c r="A675" s="8">
        <v>31</v>
      </c>
      <c r="B675" s="8" t="s">
        <v>565</v>
      </c>
      <c r="C675" s="25" t="s">
        <v>36</v>
      </c>
      <c r="D675" s="25">
        <v>1</v>
      </c>
      <c r="E675" s="25">
        <v>0</v>
      </c>
      <c r="F675" s="8">
        <f>AVERAGE(E675:E682)</f>
        <v>2.4824999999999999</v>
      </c>
      <c r="G675" s="6">
        <f>E675-F675</f>
        <v>-2.4824999999999999</v>
      </c>
      <c r="H675" s="25">
        <v>76</v>
      </c>
      <c r="I675" s="44" t="s">
        <v>566</v>
      </c>
      <c r="J675" s="5"/>
    </row>
    <row r="676" spans="1:10">
      <c r="A676" s="8">
        <v>31</v>
      </c>
      <c r="B676" s="8" t="s">
        <v>565</v>
      </c>
      <c r="C676" s="25" t="s">
        <v>40</v>
      </c>
      <c r="D676" s="25">
        <v>1</v>
      </c>
      <c r="E676" s="25">
        <v>9.61</v>
      </c>
      <c r="F676" s="8">
        <v>2.4824999999999999</v>
      </c>
      <c r="G676" s="6">
        <f>E676-F676</f>
        <v>7.1274999999999995</v>
      </c>
      <c r="H676" s="25">
        <v>12</v>
      </c>
      <c r="I676" s="44" t="s">
        <v>566</v>
      </c>
      <c r="J676" s="5"/>
    </row>
    <row r="677" spans="1:10">
      <c r="A677" s="8">
        <v>31</v>
      </c>
      <c r="B677" s="8" t="s">
        <v>565</v>
      </c>
      <c r="C677" s="25" t="s">
        <v>567</v>
      </c>
      <c r="D677" s="25">
        <v>1</v>
      </c>
      <c r="E677" s="25">
        <v>0.9</v>
      </c>
      <c r="F677" s="8">
        <v>2.4824999999999999</v>
      </c>
      <c r="G677" s="6">
        <f>E677-F677</f>
        <v>-1.5825</v>
      </c>
      <c r="H677" s="25">
        <v>128</v>
      </c>
      <c r="I677" s="44" t="s">
        <v>566</v>
      </c>
      <c r="J677" s="5"/>
    </row>
    <row r="678" spans="1:10">
      <c r="A678" s="8">
        <v>31</v>
      </c>
      <c r="B678" s="8" t="s">
        <v>565</v>
      </c>
      <c r="C678" s="25" t="s">
        <v>108</v>
      </c>
      <c r="D678" s="25">
        <v>1</v>
      </c>
      <c r="E678" s="25">
        <v>1.04</v>
      </c>
      <c r="F678" s="8">
        <v>2.4824999999999999</v>
      </c>
      <c r="G678" s="6">
        <f>E678-F678</f>
        <v>-1.4424999999999999</v>
      </c>
      <c r="H678" s="25">
        <v>35</v>
      </c>
      <c r="I678" s="44" t="s">
        <v>566</v>
      </c>
      <c r="J678" s="5"/>
    </row>
    <row r="679" spans="1:10">
      <c r="A679" s="8">
        <v>31</v>
      </c>
      <c r="B679" s="8" t="s">
        <v>565</v>
      </c>
      <c r="C679" s="25" t="s">
        <v>122</v>
      </c>
      <c r="D679" s="25">
        <v>1</v>
      </c>
      <c r="E679" s="25">
        <v>4.5999999999999996</v>
      </c>
      <c r="F679" s="8">
        <v>2.4824999999999999</v>
      </c>
      <c r="G679" s="6">
        <f>E679-F679</f>
        <v>2.1174999999999997</v>
      </c>
      <c r="H679" s="25">
        <v>462</v>
      </c>
      <c r="I679" s="44" t="s">
        <v>566</v>
      </c>
      <c r="J679" s="5"/>
    </row>
    <row r="680" spans="1:10">
      <c r="A680" s="8">
        <v>31</v>
      </c>
      <c r="B680" s="8" t="s">
        <v>565</v>
      </c>
      <c r="C680" s="25" t="s">
        <v>568</v>
      </c>
      <c r="D680" s="25">
        <v>1</v>
      </c>
      <c r="E680" s="25">
        <v>0.25</v>
      </c>
      <c r="F680" s="8">
        <v>2.4824999999999999</v>
      </c>
      <c r="G680" s="6">
        <f>E680-F680</f>
        <v>-2.2324999999999999</v>
      </c>
      <c r="H680" s="25">
        <v>160</v>
      </c>
      <c r="I680" s="44" t="s">
        <v>566</v>
      </c>
      <c r="J680" s="5"/>
    </row>
    <row r="681" spans="1:10">
      <c r="A681" s="8">
        <v>31</v>
      </c>
      <c r="B681" s="8" t="s">
        <v>565</v>
      </c>
      <c r="C681" s="25" t="s">
        <v>569</v>
      </c>
      <c r="D681" s="25">
        <v>1</v>
      </c>
      <c r="E681" s="25">
        <v>1.44</v>
      </c>
      <c r="F681" s="8">
        <v>2.4824999999999999</v>
      </c>
      <c r="G681" s="6">
        <f>E681-F681</f>
        <v>-1.0425</v>
      </c>
      <c r="H681" s="25">
        <v>16</v>
      </c>
      <c r="I681" s="44" t="s">
        <v>566</v>
      </c>
      <c r="J681" s="5"/>
    </row>
    <row r="682" spans="1:10">
      <c r="A682" s="8">
        <v>31</v>
      </c>
      <c r="B682" s="8" t="s">
        <v>565</v>
      </c>
      <c r="C682" s="25" t="s">
        <v>570</v>
      </c>
      <c r="D682" s="25">
        <v>1</v>
      </c>
      <c r="E682" s="25">
        <v>2.02</v>
      </c>
      <c r="F682" s="8">
        <v>2.4824999999999999</v>
      </c>
      <c r="G682" s="6">
        <f>E682-F682</f>
        <v>-0.46249999999999991</v>
      </c>
      <c r="H682" s="25">
        <v>29</v>
      </c>
      <c r="I682" s="44" t="s">
        <v>566</v>
      </c>
      <c r="J682" s="5"/>
    </row>
    <row r="683" spans="1:10">
      <c r="A683" s="8">
        <v>31</v>
      </c>
      <c r="B683" s="8" t="s">
        <v>565</v>
      </c>
      <c r="C683" s="25" t="s">
        <v>25</v>
      </c>
      <c r="D683" s="25">
        <v>2</v>
      </c>
      <c r="E683" s="25">
        <v>0</v>
      </c>
      <c r="F683" s="8">
        <f>AVERAGE(E683:E691)</f>
        <v>1.5577777777777779</v>
      </c>
      <c r="G683" s="6">
        <f>E683-F683</f>
        <v>-1.5577777777777779</v>
      </c>
      <c r="H683" s="25">
        <v>14</v>
      </c>
      <c r="I683" s="44" t="s">
        <v>566</v>
      </c>
      <c r="J683" s="5"/>
    </row>
    <row r="684" spans="1:10">
      <c r="A684" s="8">
        <v>31</v>
      </c>
      <c r="B684" s="8" t="s">
        <v>565</v>
      </c>
      <c r="C684" s="25" t="s">
        <v>54</v>
      </c>
      <c r="D684" s="25">
        <v>2</v>
      </c>
      <c r="E684" s="25">
        <v>0</v>
      </c>
      <c r="F684" s="8">
        <v>1.5577799999999999</v>
      </c>
      <c r="G684" s="6">
        <f>E684-F684</f>
        <v>-1.5577799999999999</v>
      </c>
      <c r="H684" s="25">
        <v>25</v>
      </c>
      <c r="I684" s="44" t="s">
        <v>566</v>
      </c>
      <c r="J684" s="5"/>
    </row>
    <row r="685" spans="1:10">
      <c r="A685" s="8">
        <v>31</v>
      </c>
      <c r="B685" s="8" t="s">
        <v>565</v>
      </c>
      <c r="C685" s="25" t="s">
        <v>571</v>
      </c>
      <c r="D685" s="25">
        <v>2</v>
      </c>
      <c r="E685" s="25">
        <v>0</v>
      </c>
      <c r="F685" s="8">
        <v>1.5577799999999999</v>
      </c>
      <c r="G685" s="6">
        <f>E685-F685</f>
        <v>-1.5577799999999999</v>
      </c>
      <c r="H685" s="25">
        <v>32</v>
      </c>
      <c r="I685" s="44" t="s">
        <v>566</v>
      </c>
      <c r="J685" s="5"/>
    </row>
    <row r="686" spans="1:10">
      <c r="A686" s="8">
        <v>31</v>
      </c>
      <c r="B686" s="8" t="s">
        <v>565</v>
      </c>
      <c r="C686" s="25" t="s">
        <v>98</v>
      </c>
      <c r="D686" s="25">
        <v>2</v>
      </c>
      <c r="E686" s="25">
        <v>1.07</v>
      </c>
      <c r="F686" s="8">
        <v>1.5577799999999999</v>
      </c>
      <c r="G686" s="6">
        <f>E686-F686</f>
        <v>-0.48777999999999988</v>
      </c>
      <c r="H686" s="25">
        <v>102</v>
      </c>
      <c r="I686" s="44" t="s">
        <v>566</v>
      </c>
      <c r="J686" s="5"/>
    </row>
    <row r="687" spans="1:10">
      <c r="A687" s="8">
        <v>31</v>
      </c>
      <c r="B687" s="8" t="s">
        <v>565</v>
      </c>
      <c r="C687" s="25" t="s">
        <v>124</v>
      </c>
      <c r="D687" s="25">
        <v>2</v>
      </c>
      <c r="E687" s="25">
        <v>2.82</v>
      </c>
      <c r="F687" s="8">
        <v>1.5577799999999999</v>
      </c>
      <c r="G687" s="6">
        <f>E687-F687</f>
        <v>1.2622199999999999</v>
      </c>
      <c r="H687" s="25">
        <v>25</v>
      </c>
      <c r="I687" s="44" t="s">
        <v>566</v>
      </c>
      <c r="J687" s="5"/>
    </row>
    <row r="688" spans="1:10">
      <c r="A688" s="8">
        <v>31</v>
      </c>
      <c r="B688" s="8" t="s">
        <v>565</v>
      </c>
      <c r="C688" s="25" t="s">
        <v>176</v>
      </c>
      <c r="D688" s="25">
        <v>2</v>
      </c>
      <c r="E688" s="25">
        <v>0.52</v>
      </c>
      <c r="F688" s="8">
        <v>1.5577799999999999</v>
      </c>
      <c r="G688" s="6">
        <f>E688-F688</f>
        <v>-1.0377799999999999</v>
      </c>
      <c r="H688" s="25">
        <v>67</v>
      </c>
      <c r="I688" s="44" t="s">
        <v>566</v>
      </c>
      <c r="J688" s="5"/>
    </row>
    <row r="689" spans="1:10">
      <c r="A689" s="8">
        <v>31</v>
      </c>
      <c r="B689" s="8" t="s">
        <v>565</v>
      </c>
      <c r="C689" s="25" t="s">
        <v>209</v>
      </c>
      <c r="D689" s="25">
        <v>2</v>
      </c>
      <c r="E689" s="25">
        <v>7</v>
      </c>
      <c r="F689" s="8">
        <v>1.5577799999999999</v>
      </c>
      <c r="G689" s="6">
        <f>E689-F689</f>
        <v>5.4422199999999998</v>
      </c>
      <c r="H689" s="25">
        <v>29</v>
      </c>
      <c r="I689" s="44" t="s">
        <v>566</v>
      </c>
      <c r="J689" s="5"/>
    </row>
    <row r="690" spans="1:10">
      <c r="A690" s="8">
        <v>31</v>
      </c>
      <c r="B690" s="8" t="s">
        <v>565</v>
      </c>
      <c r="C690" s="25" t="s">
        <v>572</v>
      </c>
      <c r="D690" s="25">
        <v>2</v>
      </c>
      <c r="E690" s="25">
        <v>1.47</v>
      </c>
      <c r="F690" s="8">
        <v>1.5577799999999999</v>
      </c>
      <c r="G690" s="6">
        <f>E690-F690</f>
        <v>-8.7779999999999969E-2</v>
      </c>
      <c r="H690" s="25">
        <v>131</v>
      </c>
      <c r="I690" s="44" t="s">
        <v>566</v>
      </c>
      <c r="J690" s="5"/>
    </row>
    <row r="691" spans="1:10">
      <c r="A691" s="8">
        <v>31</v>
      </c>
      <c r="B691" s="8" t="s">
        <v>565</v>
      </c>
      <c r="C691" s="25" t="s">
        <v>573</v>
      </c>
      <c r="D691" s="25">
        <v>2</v>
      </c>
      <c r="E691" s="25">
        <v>1.1399999999999999</v>
      </c>
      <c r="F691" s="8">
        <v>1.5577799999999999</v>
      </c>
      <c r="G691" s="6">
        <f>E691-F691</f>
        <v>-0.41778000000000004</v>
      </c>
      <c r="H691" s="25">
        <v>29</v>
      </c>
      <c r="I691" s="44" t="s">
        <v>566</v>
      </c>
      <c r="J691" s="5"/>
    </row>
    <row r="692" spans="1:10">
      <c r="A692" s="8">
        <v>31</v>
      </c>
      <c r="B692" s="8" t="s">
        <v>565</v>
      </c>
      <c r="C692" s="25" t="s">
        <v>36</v>
      </c>
      <c r="D692" s="25">
        <v>3</v>
      </c>
      <c r="E692" s="25">
        <v>0.85</v>
      </c>
      <c r="F692" s="8">
        <f>AVERAGE(E692:E704)</f>
        <v>3.2869230769230766</v>
      </c>
      <c r="G692" s="6">
        <f>E692-F692</f>
        <v>-2.4369230769230765</v>
      </c>
      <c r="H692" s="25">
        <v>138</v>
      </c>
      <c r="I692" s="44" t="s">
        <v>566</v>
      </c>
      <c r="J692" s="5"/>
    </row>
    <row r="693" spans="1:10">
      <c r="A693" s="8">
        <v>31</v>
      </c>
      <c r="B693" s="8" t="s">
        <v>565</v>
      </c>
      <c r="C693" s="25" t="s">
        <v>40</v>
      </c>
      <c r="D693" s="25">
        <v>3</v>
      </c>
      <c r="E693" s="25">
        <v>20.63</v>
      </c>
      <c r="F693" s="8">
        <v>3.2869231000000001</v>
      </c>
      <c r="G693" s="6">
        <f>E693-F693</f>
        <v>17.3430769</v>
      </c>
      <c r="H693" s="25">
        <v>20</v>
      </c>
      <c r="I693" s="44" t="s">
        <v>566</v>
      </c>
      <c r="J693" s="5"/>
    </row>
    <row r="694" spans="1:10">
      <c r="A694" s="8">
        <v>31</v>
      </c>
      <c r="B694" s="8" t="s">
        <v>565</v>
      </c>
      <c r="C694" s="25" t="s">
        <v>54</v>
      </c>
      <c r="D694" s="25">
        <v>3</v>
      </c>
      <c r="E694" s="25">
        <v>0.93</v>
      </c>
      <c r="F694" s="8">
        <v>3.2869231000000001</v>
      </c>
      <c r="G694" s="6">
        <f>E694-F694</f>
        <v>-2.3569230999999999</v>
      </c>
      <c r="H694" s="25">
        <v>63</v>
      </c>
      <c r="I694" s="44" t="s">
        <v>566</v>
      </c>
      <c r="J694" s="5"/>
    </row>
    <row r="695" spans="1:10">
      <c r="A695" s="8">
        <v>31</v>
      </c>
      <c r="B695" s="8" t="s">
        <v>565</v>
      </c>
      <c r="C695" s="25" t="s">
        <v>567</v>
      </c>
      <c r="D695" s="25">
        <v>3</v>
      </c>
      <c r="E695" s="25">
        <v>0.99</v>
      </c>
      <c r="F695" s="8">
        <v>3.2869231000000001</v>
      </c>
      <c r="G695" s="6">
        <f>E695-F695</f>
        <v>-2.2969230999999999</v>
      </c>
      <c r="H695" s="25">
        <v>125</v>
      </c>
      <c r="I695" s="44" t="s">
        <v>566</v>
      </c>
      <c r="J695" s="5"/>
    </row>
    <row r="696" spans="1:10">
      <c r="A696" s="8">
        <v>31</v>
      </c>
      <c r="B696" s="8" t="s">
        <v>565</v>
      </c>
      <c r="C696" s="25" t="s">
        <v>574</v>
      </c>
      <c r="D696" s="25">
        <v>3</v>
      </c>
      <c r="E696" s="25">
        <v>0</v>
      </c>
      <c r="F696" s="8">
        <v>3.2869231000000001</v>
      </c>
      <c r="G696" s="6">
        <f>E696-F696</f>
        <v>-3.2869231000000001</v>
      </c>
      <c r="H696" s="25">
        <v>15</v>
      </c>
      <c r="I696" s="44" t="s">
        <v>566</v>
      </c>
      <c r="J696" s="5"/>
    </row>
    <row r="697" spans="1:10">
      <c r="A697" s="8">
        <v>31</v>
      </c>
      <c r="B697" s="8" t="s">
        <v>565</v>
      </c>
      <c r="C697" s="25" t="s">
        <v>575</v>
      </c>
      <c r="D697" s="25">
        <v>3</v>
      </c>
      <c r="E697" s="25">
        <v>1.44</v>
      </c>
      <c r="F697" s="8">
        <v>3.2869231000000001</v>
      </c>
      <c r="G697" s="6">
        <f>E697-F697</f>
        <v>-1.8469231000000002</v>
      </c>
      <c r="H697" s="25">
        <v>21</v>
      </c>
      <c r="I697" s="44" t="s">
        <v>566</v>
      </c>
      <c r="J697" s="5"/>
    </row>
    <row r="698" spans="1:10">
      <c r="A698" s="8">
        <v>31</v>
      </c>
      <c r="B698" s="8" t="s">
        <v>565</v>
      </c>
      <c r="C698" s="25" t="s">
        <v>104</v>
      </c>
      <c r="D698" s="25">
        <v>3</v>
      </c>
      <c r="E698" s="25">
        <v>0</v>
      </c>
      <c r="F698" s="8">
        <v>3.2869231000000001</v>
      </c>
      <c r="G698" s="6">
        <f>E698-F698</f>
        <v>-3.2869231000000001</v>
      </c>
      <c r="H698" s="25">
        <v>13</v>
      </c>
      <c r="I698" s="44" t="s">
        <v>566</v>
      </c>
      <c r="J698" s="5"/>
    </row>
    <row r="699" spans="1:10">
      <c r="A699" s="8">
        <v>31</v>
      </c>
      <c r="B699" s="8" t="s">
        <v>565</v>
      </c>
      <c r="C699" s="25" t="s">
        <v>576</v>
      </c>
      <c r="D699" s="25">
        <v>3</v>
      </c>
      <c r="E699" s="25">
        <v>1.94</v>
      </c>
      <c r="F699" s="8">
        <v>3.2869231000000001</v>
      </c>
      <c r="G699" s="6">
        <f>E699-F699</f>
        <v>-1.3469231000000002</v>
      </c>
      <c r="H699" s="25">
        <v>22</v>
      </c>
      <c r="I699" s="44" t="s">
        <v>566</v>
      </c>
      <c r="J699" s="5"/>
    </row>
    <row r="700" spans="1:10">
      <c r="A700" s="8">
        <v>31</v>
      </c>
      <c r="B700" s="8" t="s">
        <v>565</v>
      </c>
      <c r="C700" s="25" t="s">
        <v>577</v>
      </c>
      <c r="D700" s="25">
        <v>3</v>
      </c>
      <c r="E700" s="25">
        <v>4.28</v>
      </c>
      <c r="F700" s="8">
        <v>3.2869231000000001</v>
      </c>
      <c r="G700" s="6">
        <f>E700-F700</f>
        <v>0.99307690000000015</v>
      </c>
      <c r="H700" s="25">
        <v>39</v>
      </c>
      <c r="I700" s="44" t="s">
        <v>566</v>
      </c>
      <c r="J700" s="5"/>
    </row>
    <row r="701" spans="1:10">
      <c r="A701" s="8">
        <v>31</v>
      </c>
      <c r="B701" s="8" t="s">
        <v>565</v>
      </c>
      <c r="C701" s="25" t="s">
        <v>578</v>
      </c>
      <c r="D701" s="25">
        <v>3</v>
      </c>
      <c r="E701" s="25">
        <v>2.37</v>
      </c>
      <c r="F701" s="8">
        <v>3.2869231000000001</v>
      </c>
      <c r="G701" s="6">
        <f>E701-F701</f>
        <v>-0.91692309999999999</v>
      </c>
      <c r="H701" s="25">
        <v>92</v>
      </c>
      <c r="I701" s="44" t="s">
        <v>566</v>
      </c>
      <c r="J701" s="5"/>
    </row>
    <row r="702" spans="1:10">
      <c r="A702" s="8">
        <v>31</v>
      </c>
      <c r="B702" s="8" t="s">
        <v>565</v>
      </c>
      <c r="C702" s="25" t="s">
        <v>568</v>
      </c>
      <c r="D702" s="25">
        <v>3</v>
      </c>
      <c r="E702" s="25">
        <v>0.19</v>
      </c>
      <c r="F702" s="8">
        <v>3.2869231000000001</v>
      </c>
      <c r="G702" s="6">
        <f>E702-F702</f>
        <v>-3.0969231000000002</v>
      </c>
      <c r="H702" s="25">
        <v>132</v>
      </c>
      <c r="I702" s="44" t="s">
        <v>566</v>
      </c>
      <c r="J702" s="5"/>
    </row>
    <row r="703" spans="1:10">
      <c r="A703" s="8">
        <v>31</v>
      </c>
      <c r="B703" s="8" t="s">
        <v>565</v>
      </c>
      <c r="C703" s="25" t="s">
        <v>579</v>
      </c>
      <c r="D703" s="25">
        <v>3</v>
      </c>
      <c r="E703" s="25">
        <v>1.58</v>
      </c>
      <c r="F703" s="8">
        <v>3.2869231000000001</v>
      </c>
      <c r="G703" s="6">
        <f>E703-F703</f>
        <v>-1.7069231</v>
      </c>
      <c r="H703" s="25">
        <v>115</v>
      </c>
      <c r="I703" s="44" t="s">
        <v>566</v>
      </c>
      <c r="J703" s="5"/>
    </row>
    <row r="704" spans="1:10">
      <c r="A704" s="8">
        <v>31</v>
      </c>
      <c r="B704" s="8" t="s">
        <v>565</v>
      </c>
      <c r="C704" s="25" t="s">
        <v>580</v>
      </c>
      <c r="D704" s="25">
        <v>3</v>
      </c>
      <c r="E704" s="25">
        <v>7.53</v>
      </c>
      <c r="F704" s="8">
        <v>3.2869231000000001</v>
      </c>
      <c r="G704" s="6">
        <f>E704-F704</f>
        <v>4.2430769000000002</v>
      </c>
      <c r="H704" s="25">
        <v>16</v>
      </c>
      <c r="I704" s="44" t="s">
        <v>566</v>
      </c>
      <c r="J704" s="5"/>
    </row>
    <row r="705" spans="1:10">
      <c r="A705" s="8">
        <v>31</v>
      </c>
      <c r="B705" s="8" t="s">
        <v>565</v>
      </c>
      <c r="C705" s="25" t="s">
        <v>25</v>
      </c>
      <c r="D705" s="25">
        <v>4</v>
      </c>
      <c r="E705" s="25">
        <v>5.77</v>
      </c>
      <c r="F705" s="8">
        <f>AVERAGE(E705:E716)</f>
        <v>2.36</v>
      </c>
      <c r="G705" s="6">
        <f>E705-F705</f>
        <v>3.4099999999999997</v>
      </c>
      <c r="H705" s="25">
        <v>12</v>
      </c>
      <c r="I705" s="44" t="s">
        <v>566</v>
      </c>
      <c r="J705" s="5"/>
    </row>
    <row r="706" spans="1:10">
      <c r="A706" s="8">
        <v>31</v>
      </c>
      <c r="B706" s="8" t="s">
        <v>565</v>
      </c>
      <c r="C706" s="25" t="s">
        <v>36</v>
      </c>
      <c r="D706" s="25">
        <v>4</v>
      </c>
      <c r="E706" s="25">
        <v>1.79</v>
      </c>
      <c r="F706" s="8">
        <v>2.36</v>
      </c>
      <c r="G706" s="6">
        <f>E706-F706</f>
        <v>-0.56999999999999984</v>
      </c>
      <c r="H706" s="25">
        <v>121</v>
      </c>
      <c r="I706" s="44" t="s">
        <v>566</v>
      </c>
      <c r="J706" s="5"/>
    </row>
    <row r="707" spans="1:10">
      <c r="A707" s="8">
        <v>31</v>
      </c>
      <c r="B707" s="8" t="s">
        <v>565</v>
      </c>
      <c r="C707" s="25" t="s">
        <v>54</v>
      </c>
      <c r="D707" s="25">
        <v>4</v>
      </c>
      <c r="E707" s="25">
        <v>1.58</v>
      </c>
      <c r="F707" s="8">
        <v>2.36</v>
      </c>
      <c r="G707" s="6">
        <f>E707-F707</f>
        <v>-0.7799999999999998</v>
      </c>
      <c r="H707" s="25">
        <v>34</v>
      </c>
      <c r="I707" s="44" t="s">
        <v>566</v>
      </c>
      <c r="J707" s="5"/>
    </row>
    <row r="708" spans="1:10">
      <c r="A708" s="8">
        <v>31</v>
      </c>
      <c r="B708" s="8" t="s">
        <v>565</v>
      </c>
      <c r="C708" s="25" t="s">
        <v>581</v>
      </c>
      <c r="D708" s="25">
        <v>4</v>
      </c>
      <c r="E708" s="25">
        <v>1.18</v>
      </c>
      <c r="F708" s="8">
        <v>2.36</v>
      </c>
      <c r="G708" s="6">
        <f>E708-F708</f>
        <v>-1.18</v>
      </c>
      <c r="H708" s="25">
        <v>78</v>
      </c>
      <c r="I708" s="44" t="s">
        <v>566</v>
      </c>
      <c r="J708" s="5"/>
    </row>
    <row r="709" spans="1:10">
      <c r="A709" s="8">
        <v>31</v>
      </c>
      <c r="B709" s="8" t="s">
        <v>565</v>
      </c>
      <c r="C709" s="25" t="s">
        <v>567</v>
      </c>
      <c r="D709" s="25">
        <v>4</v>
      </c>
      <c r="E709" s="25">
        <v>1.44</v>
      </c>
      <c r="F709" s="8">
        <v>2.36</v>
      </c>
      <c r="G709" s="6">
        <f>E709-F709</f>
        <v>-0.91999999999999993</v>
      </c>
      <c r="H709" s="25">
        <v>19</v>
      </c>
      <c r="I709" s="44" t="s">
        <v>566</v>
      </c>
      <c r="J709" s="5"/>
    </row>
    <row r="710" spans="1:10">
      <c r="A710" s="8">
        <v>31</v>
      </c>
      <c r="B710" s="8" t="s">
        <v>565</v>
      </c>
      <c r="C710" s="25" t="s">
        <v>582</v>
      </c>
      <c r="D710" s="25">
        <v>4</v>
      </c>
      <c r="E710" s="25">
        <v>1.44</v>
      </c>
      <c r="F710" s="8">
        <v>2.36</v>
      </c>
      <c r="G710" s="6">
        <f>E710-F710</f>
        <v>-0.91999999999999993</v>
      </c>
      <c r="H710" s="25">
        <v>16</v>
      </c>
      <c r="I710" s="44" t="s">
        <v>566</v>
      </c>
      <c r="J710" s="5"/>
    </row>
    <row r="711" spans="1:10">
      <c r="A711" s="8">
        <v>31</v>
      </c>
      <c r="B711" s="8" t="s">
        <v>565</v>
      </c>
      <c r="C711" s="25" t="s">
        <v>578</v>
      </c>
      <c r="D711" s="25">
        <v>4</v>
      </c>
      <c r="E711" s="25">
        <v>3.06</v>
      </c>
      <c r="F711" s="8">
        <v>2.36</v>
      </c>
      <c r="G711" s="6">
        <f>E711-F711</f>
        <v>0.70000000000000018</v>
      </c>
      <c r="H711" s="25">
        <v>102</v>
      </c>
      <c r="I711" s="44" t="s">
        <v>566</v>
      </c>
      <c r="J711" s="5"/>
    </row>
    <row r="712" spans="1:10">
      <c r="A712" s="8">
        <v>31</v>
      </c>
      <c r="B712" s="8" t="s">
        <v>565</v>
      </c>
      <c r="C712" s="25" t="s">
        <v>568</v>
      </c>
      <c r="D712" s="25">
        <v>4</v>
      </c>
      <c r="E712" s="25">
        <v>0.37</v>
      </c>
      <c r="F712" s="8">
        <v>2.36</v>
      </c>
      <c r="G712" s="6">
        <f>E712-F712</f>
        <v>-1.9899999999999998</v>
      </c>
      <c r="H712" s="25">
        <v>137</v>
      </c>
      <c r="I712" s="44" t="s">
        <v>566</v>
      </c>
      <c r="J712" s="5"/>
    </row>
    <row r="713" spans="1:10">
      <c r="A713" s="8">
        <v>31</v>
      </c>
      <c r="B713" s="8" t="s">
        <v>565</v>
      </c>
      <c r="C713" s="25" t="s">
        <v>569</v>
      </c>
      <c r="D713" s="25">
        <v>4</v>
      </c>
      <c r="E713" s="25">
        <v>4</v>
      </c>
      <c r="F713" s="8">
        <v>2.36</v>
      </c>
      <c r="G713" s="6">
        <f>E713-F713</f>
        <v>1.6400000000000001</v>
      </c>
      <c r="H713" s="25">
        <v>23</v>
      </c>
      <c r="I713" s="44" t="s">
        <v>566</v>
      </c>
      <c r="J713" s="5"/>
    </row>
    <row r="714" spans="1:10">
      <c r="A714" s="8">
        <v>31</v>
      </c>
      <c r="B714" s="8" t="s">
        <v>565</v>
      </c>
      <c r="C714" s="25" t="s">
        <v>572</v>
      </c>
      <c r="D714" s="25">
        <v>4</v>
      </c>
      <c r="E714" s="25">
        <v>1.74</v>
      </c>
      <c r="F714" s="8">
        <v>2.36</v>
      </c>
      <c r="G714" s="6">
        <f>E714-F714</f>
        <v>-0.61999999999999988</v>
      </c>
      <c r="H714" s="25">
        <v>23</v>
      </c>
      <c r="I714" s="44" t="s">
        <v>566</v>
      </c>
      <c r="J714" s="5"/>
    </row>
    <row r="715" spans="1:10">
      <c r="A715" s="8">
        <v>31</v>
      </c>
      <c r="B715" s="8" t="s">
        <v>565</v>
      </c>
      <c r="C715" s="25" t="s">
        <v>570</v>
      </c>
      <c r="D715" s="25">
        <v>4</v>
      </c>
      <c r="E715" s="25">
        <v>1.04</v>
      </c>
      <c r="F715" s="8">
        <v>2.36</v>
      </c>
      <c r="G715" s="6">
        <f>E715-F715</f>
        <v>-1.3199999999999998</v>
      </c>
      <c r="H715" s="25">
        <v>36</v>
      </c>
      <c r="I715" s="44" t="s">
        <v>566</v>
      </c>
      <c r="J715" s="5"/>
    </row>
    <row r="716" spans="1:10" s="14" customFormat="1">
      <c r="A716" s="15">
        <v>31</v>
      </c>
      <c r="B716" s="15" t="s">
        <v>565</v>
      </c>
      <c r="C716" s="43" t="s">
        <v>213</v>
      </c>
      <c r="D716" s="43">
        <v>4</v>
      </c>
      <c r="E716" s="43">
        <v>4.91</v>
      </c>
      <c r="F716" s="15">
        <v>2.36</v>
      </c>
      <c r="G716" s="15">
        <f>E716-F716</f>
        <v>2.5500000000000003</v>
      </c>
      <c r="H716" s="43">
        <v>23</v>
      </c>
      <c r="I716" s="44" t="s">
        <v>566</v>
      </c>
      <c r="J716" s="26"/>
    </row>
    <row r="717" spans="1:10">
      <c r="A717" s="8">
        <v>32</v>
      </c>
      <c r="B717" s="8" t="s">
        <v>583</v>
      </c>
      <c r="C717" s="5" t="s">
        <v>584</v>
      </c>
      <c r="D717" s="6">
        <v>1</v>
      </c>
      <c r="E717" s="8">
        <v>35.263283000000001</v>
      </c>
      <c r="F717" s="8">
        <f>AVERAGE(E717:E747)</f>
        <v>22.748570419354838</v>
      </c>
      <c r="G717" s="6">
        <f>E717-F717</f>
        <v>12.514712580645163</v>
      </c>
      <c r="H717" s="25">
        <v>12591</v>
      </c>
      <c r="I717" s="8" t="s">
        <v>585</v>
      </c>
      <c r="J717" s="5"/>
    </row>
    <row r="718" spans="1:10">
      <c r="A718" s="8">
        <v>32</v>
      </c>
      <c r="B718" s="8" t="s">
        <v>583</v>
      </c>
      <c r="C718" s="5" t="s">
        <v>586</v>
      </c>
      <c r="D718" s="6">
        <v>1</v>
      </c>
      <c r="E718" s="8">
        <v>18.181818</v>
      </c>
      <c r="F718" s="8">
        <v>22.7486</v>
      </c>
      <c r="G718" s="6">
        <f>E718-F718</f>
        <v>-4.5667819999999999</v>
      </c>
      <c r="H718" s="25">
        <v>869</v>
      </c>
      <c r="I718" s="8" t="s">
        <v>585</v>
      </c>
      <c r="J718" s="5"/>
    </row>
    <row r="719" spans="1:10">
      <c r="A719" s="8">
        <v>32</v>
      </c>
      <c r="B719" s="8" t="s">
        <v>583</v>
      </c>
      <c r="C719" s="5" t="s">
        <v>587</v>
      </c>
      <c r="D719" s="6">
        <v>1</v>
      </c>
      <c r="E719" s="8">
        <v>0</v>
      </c>
      <c r="F719" s="8">
        <v>22.7486</v>
      </c>
      <c r="G719" s="6">
        <f>E719-F719</f>
        <v>-22.7486</v>
      </c>
      <c r="H719" s="25">
        <v>25</v>
      </c>
      <c r="I719" s="8" t="s">
        <v>585</v>
      </c>
      <c r="J719" s="5"/>
    </row>
    <row r="720" spans="1:10">
      <c r="A720" s="8">
        <v>32</v>
      </c>
      <c r="B720" s="8" t="s">
        <v>583</v>
      </c>
      <c r="C720" s="5" t="s">
        <v>444</v>
      </c>
      <c r="D720" s="6">
        <v>1</v>
      </c>
      <c r="E720" s="8">
        <v>23.255814000000001</v>
      </c>
      <c r="F720" s="8">
        <v>22.7486</v>
      </c>
      <c r="G720" s="6">
        <f>E720-F720</f>
        <v>0.50721400000000116</v>
      </c>
      <c r="H720" s="25">
        <v>1419</v>
      </c>
      <c r="I720" s="8" t="s">
        <v>585</v>
      </c>
      <c r="J720" s="5"/>
    </row>
    <row r="721" spans="1:10">
      <c r="A721" s="8">
        <v>32</v>
      </c>
      <c r="B721" s="8" t="s">
        <v>583</v>
      </c>
      <c r="C721" s="5" t="s">
        <v>523</v>
      </c>
      <c r="D721" s="6">
        <v>1</v>
      </c>
      <c r="E721" s="8">
        <v>29.166667</v>
      </c>
      <c r="F721" s="8">
        <v>22.7486</v>
      </c>
      <c r="G721" s="6">
        <f>E721-F721</f>
        <v>6.4180670000000006</v>
      </c>
      <c r="H721" s="25">
        <v>24</v>
      </c>
      <c r="I721" s="8" t="s">
        <v>585</v>
      </c>
      <c r="J721" s="5"/>
    </row>
    <row r="722" spans="1:10">
      <c r="A722" s="8">
        <v>32</v>
      </c>
      <c r="B722" s="8" t="s">
        <v>583</v>
      </c>
      <c r="C722" s="5" t="s">
        <v>588</v>
      </c>
      <c r="D722" s="6">
        <v>1</v>
      </c>
      <c r="E722" s="8">
        <v>36.666666999999997</v>
      </c>
      <c r="F722" s="8">
        <v>22.7486</v>
      </c>
      <c r="G722" s="6">
        <f>E722-F722</f>
        <v>13.918066999999997</v>
      </c>
      <c r="H722" s="25">
        <v>120</v>
      </c>
      <c r="I722" s="8" t="s">
        <v>585</v>
      </c>
      <c r="J722" s="5"/>
    </row>
    <row r="723" spans="1:10">
      <c r="A723" s="8">
        <v>32</v>
      </c>
      <c r="B723" s="8" t="s">
        <v>583</v>
      </c>
      <c r="C723" s="5" t="s">
        <v>511</v>
      </c>
      <c r="D723" s="6">
        <v>1</v>
      </c>
      <c r="E723" s="8">
        <v>19.354838999999998</v>
      </c>
      <c r="F723" s="8">
        <v>22.7486</v>
      </c>
      <c r="G723" s="6">
        <f>E723-F723</f>
        <v>-3.3937610000000014</v>
      </c>
      <c r="H723" s="25">
        <v>124</v>
      </c>
      <c r="I723" s="8" t="s">
        <v>585</v>
      </c>
      <c r="J723" s="5"/>
    </row>
    <row r="724" spans="1:10">
      <c r="A724" s="8">
        <v>32</v>
      </c>
      <c r="B724" s="8" t="s">
        <v>583</v>
      </c>
      <c r="C724" s="5" t="s">
        <v>589</v>
      </c>
      <c r="D724" s="6">
        <v>1</v>
      </c>
      <c r="E724" s="8">
        <v>0</v>
      </c>
      <c r="F724" s="8">
        <v>22.7486</v>
      </c>
      <c r="G724" s="6">
        <f>E724-F724</f>
        <v>-22.7486</v>
      </c>
      <c r="H724" s="25">
        <v>39</v>
      </c>
      <c r="I724" s="8" t="s">
        <v>585</v>
      </c>
      <c r="J724" s="5"/>
    </row>
    <row r="725" spans="1:10">
      <c r="A725" s="8">
        <v>32</v>
      </c>
      <c r="B725" s="8" t="s">
        <v>583</v>
      </c>
      <c r="C725" s="5" t="s">
        <v>590</v>
      </c>
      <c r="D725" s="6">
        <v>1</v>
      </c>
      <c r="E725" s="8">
        <v>57.142856999999999</v>
      </c>
      <c r="F725" s="8">
        <v>22.7486</v>
      </c>
      <c r="G725" s="6">
        <f>E725-F725</f>
        <v>34.394256999999996</v>
      </c>
      <c r="H725" s="25">
        <v>56</v>
      </c>
      <c r="I725" s="8" t="s">
        <v>585</v>
      </c>
      <c r="J725" s="5"/>
    </row>
    <row r="726" spans="1:10">
      <c r="A726" s="8">
        <v>32</v>
      </c>
      <c r="B726" s="8" t="s">
        <v>583</v>
      </c>
      <c r="C726" s="5" t="s">
        <v>591</v>
      </c>
      <c r="D726" s="6">
        <v>1</v>
      </c>
      <c r="E726" s="8">
        <v>46.376812000000001</v>
      </c>
      <c r="F726" s="8">
        <v>22.7486</v>
      </c>
      <c r="G726" s="6">
        <f>E726-F726</f>
        <v>23.628212000000001</v>
      </c>
      <c r="H726" s="25">
        <v>138</v>
      </c>
      <c r="I726" s="8" t="s">
        <v>585</v>
      </c>
      <c r="J726" s="5"/>
    </row>
    <row r="727" spans="1:10">
      <c r="A727" s="8">
        <v>32</v>
      </c>
      <c r="B727" s="8" t="s">
        <v>583</v>
      </c>
      <c r="C727" s="5" t="s">
        <v>513</v>
      </c>
      <c r="D727" s="6">
        <v>1</v>
      </c>
      <c r="E727" s="8">
        <v>7.1428570000000002</v>
      </c>
      <c r="F727" s="8">
        <v>22.7486</v>
      </c>
      <c r="G727" s="6">
        <f>E727-F727</f>
        <v>-15.605743</v>
      </c>
      <c r="H727" s="25">
        <v>14</v>
      </c>
      <c r="I727" s="8" t="s">
        <v>585</v>
      </c>
      <c r="J727" s="5"/>
    </row>
    <row r="728" spans="1:10">
      <c r="A728" s="8">
        <v>32</v>
      </c>
      <c r="B728" s="8" t="s">
        <v>583</v>
      </c>
      <c r="C728" s="5" t="s">
        <v>592</v>
      </c>
      <c r="D728" s="6">
        <v>1</v>
      </c>
      <c r="E728" s="8">
        <v>25</v>
      </c>
      <c r="F728" s="8">
        <v>22.7486</v>
      </c>
      <c r="G728" s="6">
        <f>E728-F728</f>
        <v>2.2514000000000003</v>
      </c>
      <c r="H728" s="25">
        <v>36</v>
      </c>
      <c r="I728" s="8" t="s">
        <v>585</v>
      </c>
      <c r="J728" s="5"/>
    </row>
    <row r="729" spans="1:10">
      <c r="A729" s="8">
        <v>32</v>
      </c>
      <c r="B729" s="8" t="s">
        <v>583</v>
      </c>
      <c r="C729" s="5" t="s">
        <v>593</v>
      </c>
      <c r="D729" s="6">
        <v>1</v>
      </c>
      <c r="E729" s="8">
        <v>37.5</v>
      </c>
      <c r="F729" s="8">
        <v>22.7486</v>
      </c>
      <c r="G729" s="6">
        <f>E729-F729</f>
        <v>14.7514</v>
      </c>
      <c r="H729" s="25">
        <v>72</v>
      </c>
      <c r="I729" s="8" t="s">
        <v>585</v>
      </c>
      <c r="J729" s="5"/>
    </row>
    <row r="730" spans="1:10">
      <c r="A730" s="8">
        <v>32</v>
      </c>
      <c r="B730" s="8" t="s">
        <v>583</v>
      </c>
      <c r="C730" s="5" t="s">
        <v>594</v>
      </c>
      <c r="D730" s="6">
        <v>1</v>
      </c>
      <c r="E730" s="8">
        <v>27.642275999999999</v>
      </c>
      <c r="F730" s="8">
        <v>22.7486</v>
      </c>
      <c r="G730" s="6">
        <f>E730-F730</f>
        <v>4.8936759999999992</v>
      </c>
      <c r="H730" s="25">
        <v>123</v>
      </c>
      <c r="I730" s="8" t="s">
        <v>585</v>
      </c>
      <c r="J730" s="5"/>
    </row>
    <row r="731" spans="1:10">
      <c r="A731" s="8">
        <v>32</v>
      </c>
      <c r="B731" s="8" t="s">
        <v>583</v>
      </c>
      <c r="C731" s="5" t="s">
        <v>595</v>
      </c>
      <c r="D731" s="6">
        <v>1</v>
      </c>
      <c r="E731" s="8">
        <v>85.714286000000001</v>
      </c>
      <c r="F731" s="8">
        <v>22.7486</v>
      </c>
      <c r="G731" s="6">
        <f>E731-F731</f>
        <v>62.965686000000005</v>
      </c>
      <c r="H731" s="25">
        <v>49</v>
      </c>
      <c r="I731" s="8" t="s">
        <v>585</v>
      </c>
      <c r="J731" s="5"/>
    </row>
    <row r="732" spans="1:10">
      <c r="A732" s="8">
        <v>32</v>
      </c>
      <c r="B732" s="8" t="s">
        <v>583</v>
      </c>
      <c r="C732" s="5" t="s">
        <v>596</v>
      </c>
      <c r="D732" s="6">
        <v>1</v>
      </c>
      <c r="E732" s="8">
        <v>0</v>
      </c>
      <c r="F732" s="8">
        <v>22.7486</v>
      </c>
      <c r="G732" s="6">
        <f>E732-F732</f>
        <v>-22.7486</v>
      </c>
      <c r="H732" s="25">
        <v>11</v>
      </c>
      <c r="I732" s="8" t="s">
        <v>585</v>
      </c>
      <c r="J732" s="5"/>
    </row>
    <row r="733" spans="1:10">
      <c r="A733" s="8">
        <v>32</v>
      </c>
      <c r="B733" s="8" t="s">
        <v>583</v>
      </c>
      <c r="C733" s="5" t="s">
        <v>597</v>
      </c>
      <c r="D733" s="6">
        <v>1</v>
      </c>
      <c r="E733" s="8">
        <v>28.828828999999999</v>
      </c>
      <c r="F733" s="8">
        <v>22.7486</v>
      </c>
      <c r="G733" s="6">
        <f>E733-F733</f>
        <v>6.0802289999999992</v>
      </c>
      <c r="H733" s="25">
        <v>111</v>
      </c>
      <c r="I733" s="8" t="s">
        <v>585</v>
      </c>
      <c r="J733" s="5"/>
    </row>
    <row r="734" spans="1:10">
      <c r="A734" s="8">
        <v>32</v>
      </c>
      <c r="B734" s="8" t="s">
        <v>583</v>
      </c>
      <c r="C734" s="5" t="s">
        <v>522</v>
      </c>
      <c r="D734" s="6">
        <v>1</v>
      </c>
      <c r="E734" s="8">
        <v>7.0833329999999997</v>
      </c>
      <c r="F734" s="8">
        <v>22.7486</v>
      </c>
      <c r="G734" s="6">
        <f>E734-F734</f>
        <v>-15.665267</v>
      </c>
      <c r="H734" s="25">
        <v>240</v>
      </c>
      <c r="I734" s="8" t="s">
        <v>585</v>
      </c>
      <c r="J734" s="5"/>
    </row>
    <row r="735" spans="1:10">
      <c r="A735" s="8">
        <v>32</v>
      </c>
      <c r="B735" s="8" t="s">
        <v>583</v>
      </c>
      <c r="C735" s="5" t="s">
        <v>598</v>
      </c>
      <c r="D735" s="6">
        <v>1</v>
      </c>
      <c r="E735" s="8">
        <v>12</v>
      </c>
      <c r="F735" s="8">
        <v>22.7486</v>
      </c>
      <c r="G735" s="6">
        <f>E735-F735</f>
        <v>-10.7486</v>
      </c>
      <c r="H735" s="25">
        <v>50</v>
      </c>
      <c r="I735" s="8" t="s">
        <v>585</v>
      </c>
      <c r="J735" s="5"/>
    </row>
    <row r="736" spans="1:10">
      <c r="A736" s="8">
        <v>32</v>
      </c>
      <c r="B736" s="8" t="s">
        <v>583</v>
      </c>
      <c r="C736" s="5" t="s">
        <v>599</v>
      </c>
      <c r="D736" s="6">
        <v>1</v>
      </c>
      <c r="E736" s="8">
        <v>8.7719299999999993</v>
      </c>
      <c r="F736" s="8">
        <v>22.7486</v>
      </c>
      <c r="G736" s="6">
        <f>E736-F736</f>
        <v>-13.97667</v>
      </c>
      <c r="H736" s="25">
        <v>57</v>
      </c>
      <c r="I736" s="8" t="s">
        <v>585</v>
      </c>
      <c r="J736" s="5"/>
    </row>
    <row r="737" spans="1:10">
      <c r="A737" s="8">
        <v>32</v>
      </c>
      <c r="B737" s="8" t="s">
        <v>583</v>
      </c>
      <c r="C737" s="5" t="s">
        <v>600</v>
      </c>
      <c r="D737" s="6">
        <v>1</v>
      </c>
      <c r="E737" s="8">
        <v>9.0909089999999999</v>
      </c>
      <c r="F737" s="8">
        <v>22.7486</v>
      </c>
      <c r="G737" s="6">
        <f>E737-F737</f>
        <v>-13.657691</v>
      </c>
      <c r="H737" s="25">
        <v>11</v>
      </c>
      <c r="I737" s="8" t="s">
        <v>585</v>
      </c>
      <c r="J737" s="5"/>
    </row>
    <row r="738" spans="1:10">
      <c r="A738" s="8">
        <v>32</v>
      </c>
      <c r="B738" s="8" t="s">
        <v>583</v>
      </c>
      <c r="C738" s="5" t="s">
        <v>601</v>
      </c>
      <c r="D738" s="6">
        <v>1</v>
      </c>
      <c r="E738" s="8">
        <v>54.545454999999997</v>
      </c>
      <c r="F738" s="8">
        <v>22.7486</v>
      </c>
      <c r="G738" s="6">
        <f>E738-F738</f>
        <v>31.796854999999997</v>
      </c>
      <c r="H738" s="25">
        <v>11</v>
      </c>
      <c r="I738" s="8" t="s">
        <v>585</v>
      </c>
      <c r="J738" s="5"/>
    </row>
    <row r="739" spans="1:10">
      <c r="A739" s="8">
        <v>32</v>
      </c>
      <c r="B739" s="8" t="s">
        <v>583</v>
      </c>
      <c r="C739" s="5" t="s">
        <v>602</v>
      </c>
      <c r="D739" s="6">
        <v>1</v>
      </c>
      <c r="E739" s="8">
        <v>0</v>
      </c>
      <c r="F739" s="8">
        <v>22.7486</v>
      </c>
      <c r="G739" s="6">
        <f>E739-F739</f>
        <v>-22.7486</v>
      </c>
      <c r="H739" s="25">
        <v>16</v>
      </c>
      <c r="I739" s="8" t="s">
        <v>585</v>
      </c>
      <c r="J739" s="5"/>
    </row>
    <row r="740" spans="1:10">
      <c r="A740" s="8">
        <v>32</v>
      </c>
      <c r="B740" s="8" t="s">
        <v>583</v>
      </c>
      <c r="C740" s="5" t="s">
        <v>603</v>
      </c>
      <c r="D740" s="6">
        <v>1</v>
      </c>
      <c r="E740" s="8">
        <v>4.2553190000000001</v>
      </c>
      <c r="F740" s="8">
        <v>22.7486</v>
      </c>
      <c r="G740" s="6">
        <f>E740-F740</f>
        <v>-18.493281</v>
      </c>
      <c r="H740" s="25">
        <v>47</v>
      </c>
      <c r="I740" s="8" t="s">
        <v>585</v>
      </c>
      <c r="J740" s="5"/>
    </row>
    <row r="741" spans="1:10">
      <c r="A741" s="8">
        <v>32</v>
      </c>
      <c r="B741" s="8" t="s">
        <v>583</v>
      </c>
      <c r="C741" s="5" t="s">
        <v>604</v>
      </c>
      <c r="D741" s="6">
        <v>1</v>
      </c>
      <c r="E741" s="8">
        <v>34.090909000000003</v>
      </c>
      <c r="F741" s="8">
        <v>22.7486</v>
      </c>
      <c r="G741" s="6">
        <f>E741-F741</f>
        <v>11.342309000000004</v>
      </c>
      <c r="H741" s="25">
        <v>44</v>
      </c>
      <c r="I741" s="8" t="s">
        <v>585</v>
      </c>
      <c r="J741" s="5"/>
    </row>
    <row r="742" spans="1:10">
      <c r="A742" s="8">
        <v>32</v>
      </c>
      <c r="B742" s="8" t="s">
        <v>583</v>
      </c>
      <c r="C742" s="5" t="s">
        <v>605</v>
      </c>
      <c r="D742" s="6">
        <v>1</v>
      </c>
      <c r="E742" s="8">
        <v>30.805686999999999</v>
      </c>
      <c r="F742" s="8">
        <v>22.7486</v>
      </c>
      <c r="G742" s="6">
        <f>E742-F742</f>
        <v>8.0570869999999992</v>
      </c>
      <c r="H742" s="25">
        <v>211</v>
      </c>
      <c r="I742" s="8" t="s">
        <v>585</v>
      </c>
      <c r="J742" s="5"/>
    </row>
    <row r="743" spans="1:10">
      <c r="A743" s="8">
        <v>32</v>
      </c>
      <c r="B743" s="8" t="s">
        <v>583</v>
      </c>
      <c r="C743" s="5" t="s">
        <v>512</v>
      </c>
      <c r="D743" s="6">
        <v>1</v>
      </c>
      <c r="E743" s="8">
        <v>9.0909089999999999</v>
      </c>
      <c r="F743" s="8">
        <v>22.7486</v>
      </c>
      <c r="G743" s="6">
        <f>E743-F743</f>
        <v>-13.657691</v>
      </c>
      <c r="H743" s="25">
        <v>22</v>
      </c>
      <c r="I743" s="8" t="s">
        <v>585</v>
      </c>
      <c r="J743" s="5"/>
    </row>
    <row r="744" spans="1:10">
      <c r="A744" s="8">
        <v>32</v>
      </c>
      <c r="B744" s="8" t="s">
        <v>583</v>
      </c>
      <c r="C744" s="5" t="s">
        <v>606</v>
      </c>
      <c r="D744" s="6">
        <v>1</v>
      </c>
      <c r="E744" s="8">
        <v>9.0909089999999999</v>
      </c>
      <c r="F744" s="8">
        <v>22.7486</v>
      </c>
      <c r="G744" s="6">
        <f>E744-F744</f>
        <v>-13.657691</v>
      </c>
      <c r="H744" s="25">
        <v>11</v>
      </c>
      <c r="I744" s="8" t="s">
        <v>585</v>
      </c>
      <c r="J744" s="5"/>
    </row>
    <row r="745" spans="1:10">
      <c r="A745" s="8">
        <v>32</v>
      </c>
      <c r="B745" s="8" t="s">
        <v>583</v>
      </c>
      <c r="C745" s="5" t="s">
        <v>607</v>
      </c>
      <c r="D745" s="6">
        <v>1</v>
      </c>
      <c r="E745" s="8">
        <v>13.829787</v>
      </c>
      <c r="F745" s="8">
        <v>22.7486</v>
      </c>
      <c r="G745" s="6">
        <f>E745-F745</f>
        <v>-8.9188130000000001</v>
      </c>
      <c r="H745" s="25">
        <v>94</v>
      </c>
      <c r="I745" s="8" t="s">
        <v>585</v>
      </c>
      <c r="J745" s="5"/>
    </row>
    <row r="746" spans="1:10">
      <c r="A746" s="8">
        <v>32</v>
      </c>
      <c r="B746" s="8" t="s">
        <v>583</v>
      </c>
      <c r="C746" s="5" t="s">
        <v>608</v>
      </c>
      <c r="D746" s="6">
        <v>1</v>
      </c>
      <c r="E746" s="8">
        <v>35.313530999999998</v>
      </c>
      <c r="F746" s="8">
        <v>22.7486</v>
      </c>
      <c r="G746" s="6">
        <f>E746-F746</f>
        <v>12.564930999999998</v>
      </c>
      <c r="H746" s="25">
        <v>303</v>
      </c>
      <c r="I746" s="8" t="s">
        <v>585</v>
      </c>
      <c r="J746" s="5"/>
    </row>
    <row r="747" spans="1:10" s="14" customFormat="1">
      <c r="A747" s="15">
        <v>32</v>
      </c>
      <c r="B747" s="15" t="s">
        <v>583</v>
      </c>
      <c r="C747" s="26" t="s">
        <v>609</v>
      </c>
      <c r="D747" s="15">
        <v>1</v>
      </c>
      <c r="E747" s="15">
        <v>0</v>
      </c>
      <c r="F747" s="15">
        <v>22.7486</v>
      </c>
      <c r="G747" s="15">
        <f>E747-F747</f>
        <v>-22.7486</v>
      </c>
      <c r="H747" s="43">
        <v>64</v>
      </c>
      <c r="I747" s="15" t="s">
        <v>585</v>
      </c>
      <c r="J747" s="26"/>
    </row>
    <row r="748" spans="1:10">
      <c r="A748" s="8">
        <v>33</v>
      </c>
      <c r="B748" s="8" t="s">
        <v>610</v>
      </c>
      <c r="C748" s="5" t="s">
        <v>230</v>
      </c>
      <c r="D748" s="6">
        <v>1</v>
      </c>
      <c r="E748" s="8">
        <v>2.7</v>
      </c>
      <c r="F748" s="8">
        <f>AVERAGE(E748:E752)</f>
        <v>2.2000000000000002</v>
      </c>
      <c r="G748" s="6">
        <f>E748-F748</f>
        <v>0.5</v>
      </c>
      <c r="H748" s="8">
        <v>1637.8500000000001</v>
      </c>
      <c r="I748" s="8" t="s">
        <v>611</v>
      </c>
      <c r="J748" s="5"/>
    </row>
    <row r="749" spans="1:10">
      <c r="A749" s="8">
        <v>33</v>
      </c>
      <c r="B749" s="8" t="s">
        <v>610</v>
      </c>
      <c r="C749" s="5" t="s">
        <v>612</v>
      </c>
      <c r="D749" s="6">
        <v>1</v>
      </c>
      <c r="E749" s="8">
        <v>3.1</v>
      </c>
      <c r="F749" s="8">
        <v>2.2000000000000002</v>
      </c>
      <c r="G749" s="6">
        <f>E749-F749</f>
        <v>0.89999999999999991</v>
      </c>
      <c r="H749" s="8">
        <v>1561.77</v>
      </c>
      <c r="I749" s="8" t="s">
        <v>611</v>
      </c>
      <c r="J749" s="5"/>
    </row>
    <row r="750" spans="1:10">
      <c r="A750" s="8">
        <v>33</v>
      </c>
      <c r="B750" s="8" t="s">
        <v>610</v>
      </c>
      <c r="C750" s="5" t="s">
        <v>613</v>
      </c>
      <c r="D750" s="6">
        <v>1</v>
      </c>
      <c r="E750" s="8">
        <v>1.9</v>
      </c>
      <c r="F750" s="8">
        <v>2.2000000000000002</v>
      </c>
      <c r="G750" s="6">
        <f>E750-F750</f>
        <v>-0.30000000000000027</v>
      </c>
      <c r="H750" s="8">
        <v>2430.1400000000003</v>
      </c>
      <c r="I750" s="8" t="s">
        <v>611</v>
      </c>
      <c r="J750" s="5"/>
    </row>
    <row r="751" spans="1:10">
      <c r="A751" s="8">
        <v>33</v>
      </c>
      <c r="B751" s="8" t="s">
        <v>610</v>
      </c>
      <c r="C751" s="5" t="s">
        <v>614</v>
      </c>
      <c r="D751" s="6">
        <v>1</v>
      </c>
      <c r="E751" s="8">
        <v>1.6</v>
      </c>
      <c r="F751" s="8">
        <v>2.2000000000000002</v>
      </c>
      <c r="G751" s="6">
        <f>E751-F751</f>
        <v>-0.60000000000000009</v>
      </c>
      <c r="H751" s="8">
        <v>6690.5800000000008</v>
      </c>
      <c r="I751" s="8" t="s">
        <v>611</v>
      </c>
      <c r="J751" s="5"/>
    </row>
    <row r="752" spans="1:10">
      <c r="A752" s="8">
        <v>33</v>
      </c>
      <c r="B752" s="8" t="s">
        <v>610</v>
      </c>
      <c r="C752" s="5" t="s">
        <v>615</v>
      </c>
      <c r="D752" s="6">
        <v>1</v>
      </c>
      <c r="E752" s="8">
        <v>1.7</v>
      </c>
      <c r="F752" s="8">
        <v>2.2000000000000002</v>
      </c>
      <c r="G752" s="6">
        <f>E752-F752</f>
        <v>-0.50000000000000022</v>
      </c>
      <c r="H752" s="8">
        <f>13600*0.31</f>
        <v>4216</v>
      </c>
      <c r="I752" s="8" t="s">
        <v>611</v>
      </c>
      <c r="J752" s="5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Database-traits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Anderegg</dc:creator>
  <cp:lastModifiedBy>Bill Anderegg</cp:lastModifiedBy>
  <dcterms:created xsi:type="dcterms:W3CDTF">2016-03-22T20:27:20Z</dcterms:created>
  <dcterms:modified xsi:type="dcterms:W3CDTF">2016-03-22T23:45:37Z</dcterms:modified>
</cp:coreProperties>
</file>