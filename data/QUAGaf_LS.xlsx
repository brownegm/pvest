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ml.chartshapes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4"/>
  <workbookPr/>
  <mc:AlternateContent xmlns:mc="http://schemas.openxmlformats.org/markup-compatibility/2006">
    <mc:Choice Requires="x15">
      <x15ac:absPath xmlns:x15ac="http://schemas.microsoft.com/office/spreadsheetml/2010/11/ac" url="/Users/mr.bean/Documents/Research_UCLA/pvest/data/"/>
    </mc:Choice>
  </mc:AlternateContent>
  <xr:revisionPtr revIDLastSave="0" documentId="13_ncr:1_{BC4A73A7-5E3E-0F46-8DD0-82D1FD0BEBBC}" xr6:coauthVersionLast="46" xr6:coauthVersionMax="47" xr10:uidLastSave="{00000000-0000-0000-0000-000000000000}"/>
  <bookViews>
    <workbookView xWindow="0" yWindow="0" windowWidth="28800" windowHeight="18000" tabRatio="578" activeTab="5" xr2:uid="{00000000-000D-0000-FFFF-FFFF00000000}"/>
  </bookViews>
  <sheets>
    <sheet name="procedure" sheetId="18" r:id="rId1"/>
    <sheet name="QUAG_1" sheetId="11" r:id="rId2"/>
    <sheet name="QUAG_2" sheetId="12" r:id="rId3"/>
    <sheet name="QUAG_3" sheetId="13" r:id="rId4"/>
    <sheet name="QUAG_4" sheetId="14" r:id="rId5"/>
    <sheet name="QUAG_5" sheetId="15" r:id="rId6"/>
    <sheet name="QUAG_6" sheetId="16" r:id="rId7"/>
    <sheet name="summary" sheetId="17" r:id="rId8"/>
    <sheet name="Protocol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15" l="1"/>
  <c r="K8" i="15"/>
  <c r="N9" i="15"/>
  <c r="K28" i="15"/>
  <c r="L33" i="15"/>
  <c r="M22" i="11"/>
  <c r="K23" i="11"/>
  <c r="K22" i="11"/>
  <c r="K36" i="13"/>
  <c r="B22" i="11" l="1"/>
  <c r="B23" i="11" s="1"/>
  <c r="E8" i="11" s="1"/>
  <c r="B28" i="13"/>
  <c r="B27" i="13"/>
  <c r="K31" i="12" l="1"/>
  <c r="K30" i="12"/>
  <c r="K29" i="14"/>
  <c r="K24" i="14"/>
  <c r="K23" i="14"/>
  <c r="K22" i="12"/>
  <c r="K23" i="12"/>
  <c r="N11" i="12"/>
  <c r="K27" i="16"/>
  <c r="K29" i="16"/>
  <c r="K31" i="16" s="1"/>
  <c r="K28" i="16"/>
  <c r="W17" i="14"/>
  <c r="K30" i="16" l="1"/>
  <c r="K32" i="16" s="1"/>
  <c r="B15" i="14"/>
  <c r="D15" i="14"/>
  <c r="E15" i="14"/>
  <c r="F15" i="14" s="1"/>
  <c r="G15" i="14" s="1"/>
  <c r="B16" i="14"/>
  <c r="D16" i="14"/>
  <c r="E16" i="14" s="1"/>
  <c r="B17" i="14"/>
  <c r="D17" i="14"/>
  <c r="E17" i="14"/>
  <c r="F17" i="14"/>
  <c r="G17" i="14"/>
  <c r="B20" i="14"/>
  <c r="D20" i="14"/>
  <c r="D12" i="14"/>
  <c r="D8" i="14"/>
  <c r="D9" i="14"/>
  <c r="D10" i="14"/>
  <c r="D11" i="14"/>
  <c r="B23" i="14"/>
  <c r="B24" i="14" s="1"/>
  <c r="N7" i="14" s="1"/>
  <c r="D13" i="14"/>
  <c r="D14" i="14"/>
  <c r="B11" i="13"/>
  <c r="D18" i="12"/>
  <c r="D10" i="15"/>
  <c r="D11" i="15"/>
  <c r="D12" i="15"/>
  <c r="D13" i="15"/>
  <c r="D14" i="15"/>
  <c r="D20" i="15"/>
  <c r="D10" i="13"/>
  <c r="D11" i="13"/>
  <c r="D12" i="13"/>
  <c r="D13" i="13"/>
  <c r="D14" i="13"/>
  <c r="D15" i="13"/>
  <c r="D19" i="13"/>
  <c r="D20" i="13"/>
  <c r="D11" i="11"/>
  <c r="D12" i="11"/>
  <c r="D13" i="11"/>
  <c r="D14" i="11"/>
  <c r="D15" i="11"/>
  <c r="D16" i="11"/>
  <c r="B20" i="15"/>
  <c r="B14" i="15"/>
  <c r="B13" i="15"/>
  <c r="B12" i="15"/>
  <c r="B11" i="15"/>
  <c r="B10" i="15"/>
  <c r="B9" i="15"/>
  <c r="B8" i="15"/>
  <c r="B14" i="14"/>
  <c r="B13" i="14"/>
  <c r="B12" i="14"/>
  <c r="B11" i="14"/>
  <c r="B10" i="14"/>
  <c r="B9" i="14"/>
  <c r="B8" i="14"/>
  <c r="B20" i="13"/>
  <c r="B19" i="13"/>
  <c r="B15" i="13"/>
  <c r="B14" i="13"/>
  <c r="B13" i="13"/>
  <c r="B12" i="13"/>
  <c r="B10" i="13"/>
  <c r="B9" i="13"/>
  <c r="B8" i="13"/>
  <c r="B18" i="12"/>
  <c r="B15" i="12"/>
  <c r="B14" i="12"/>
  <c r="B13" i="12"/>
  <c r="B12" i="12"/>
  <c r="B11" i="12"/>
  <c r="B10" i="12"/>
  <c r="B9" i="12"/>
  <c r="B8" i="12"/>
  <c r="B19" i="11"/>
  <c r="B16" i="11"/>
  <c r="B15" i="11"/>
  <c r="B14" i="11"/>
  <c r="B13" i="11"/>
  <c r="B12" i="11"/>
  <c r="B11" i="11"/>
  <c r="B10" i="11"/>
  <c r="B9" i="11"/>
  <c r="B8" i="11"/>
  <c r="D10" i="16"/>
  <c r="D11" i="16"/>
  <c r="D12" i="16"/>
  <c r="D13" i="16"/>
  <c r="D16" i="16"/>
  <c r="D17" i="16"/>
  <c r="D18" i="16"/>
  <c r="D19" i="11"/>
  <c r="D11" i="12"/>
  <c r="D12" i="12"/>
  <c r="D13" i="12"/>
  <c r="D14" i="12"/>
  <c r="D15" i="12"/>
  <c r="D9" i="16"/>
  <c r="D9" i="15"/>
  <c r="D9" i="13"/>
  <c r="D10" i="11"/>
  <c r="D8" i="11"/>
  <c r="D8" i="13"/>
  <c r="D8" i="12"/>
  <c r="B22" i="12" s="1"/>
  <c r="B23" i="12" s="1"/>
  <c r="N7" i="12" s="1"/>
  <c r="D8" i="16"/>
  <c r="D8" i="15"/>
  <c r="D10" i="12"/>
  <c r="D9" i="12"/>
  <c r="D9" i="11"/>
  <c r="H17" i="15" l="1"/>
  <c r="F16" i="14"/>
  <c r="G16" i="14" s="1"/>
  <c r="D27" i="13"/>
  <c r="D23" i="14"/>
  <c r="E8" i="12"/>
  <c r="E9" i="12"/>
  <c r="E11" i="12"/>
  <c r="B3" i="17"/>
  <c r="E12" i="12"/>
  <c r="E13" i="12"/>
  <c r="E14" i="12"/>
  <c r="E18" i="12"/>
  <c r="E8" i="14"/>
  <c r="B5" i="17"/>
  <c r="E20" i="14"/>
  <c r="E9" i="14"/>
  <c r="E10" i="14"/>
  <c r="E11" i="14"/>
  <c r="N7" i="13"/>
  <c r="D23" i="16"/>
  <c r="B23" i="16"/>
  <c r="B24" i="16" s="1"/>
  <c r="E17" i="16" s="1"/>
  <c r="E14" i="14"/>
  <c r="D22" i="11"/>
  <c r="E10" i="12"/>
  <c r="E13" i="14"/>
  <c r="E15" i="12"/>
  <c r="D28" i="15"/>
  <c r="N7" i="11"/>
  <c r="E12" i="14"/>
  <c r="B28" i="15"/>
  <c r="B29" i="15" s="1"/>
  <c r="D22" i="12"/>
  <c r="E10" i="13" l="1"/>
  <c r="F10" i="13" s="1"/>
  <c r="G10" i="13" s="1"/>
  <c r="N16" i="12"/>
  <c r="E9" i="15"/>
  <c r="F9" i="15" s="1"/>
  <c r="G9" i="15" s="1"/>
  <c r="N7" i="15"/>
  <c r="E13" i="11"/>
  <c r="F13" i="11" s="1"/>
  <c r="G13" i="11" s="1"/>
  <c r="N15" i="14"/>
  <c r="N19" i="14" s="1"/>
  <c r="N15" i="12"/>
  <c r="N19" i="12" s="1"/>
  <c r="E13" i="16"/>
  <c r="F13" i="16" s="1"/>
  <c r="G13" i="16" s="1"/>
  <c r="N16" i="14"/>
  <c r="K5" i="17" s="1"/>
  <c r="F18" i="12"/>
  <c r="G18" i="12" s="1"/>
  <c r="E19" i="11"/>
  <c r="B2" i="17"/>
  <c r="E9" i="11"/>
  <c r="E10" i="11"/>
  <c r="E14" i="11"/>
  <c r="E15" i="11"/>
  <c r="E16" i="11"/>
  <c r="E10" i="16"/>
  <c r="E11" i="16"/>
  <c r="E12" i="16"/>
  <c r="E18" i="16"/>
  <c r="E16" i="16"/>
  <c r="N7" i="16"/>
  <c r="F10" i="14"/>
  <c r="G10" i="14" s="1"/>
  <c r="F14" i="12"/>
  <c r="G14" i="12" s="1"/>
  <c r="E12" i="11"/>
  <c r="E8" i="16"/>
  <c r="F9" i="14"/>
  <c r="G9" i="14" s="1"/>
  <c r="F13" i="12"/>
  <c r="G13" i="12" s="1"/>
  <c r="F17" i="16"/>
  <c r="G17" i="16" s="1"/>
  <c r="F10" i="12"/>
  <c r="G10" i="12" s="1"/>
  <c r="F20" i="14"/>
  <c r="G20" i="14" s="1"/>
  <c r="K3" i="17"/>
  <c r="F12" i="12"/>
  <c r="E9" i="16"/>
  <c r="E11" i="11"/>
  <c r="E13" i="13"/>
  <c r="E8" i="13"/>
  <c r="B4" i="17"/>
  <c r="E19" i="13"/>
  <c r="E20" i="13"/>
  <c r="E14" i="13"/>
  <c r="E9" i="13"/>
  <c r="E15" i="13"/>
  <c r="E11" i="13"/>
  <c r="F8" i="14"/>
  <c r="G8" i="14" s="1"/>
  <c r="F11" i="12"/>
  <c r="G11" i="12" s="1"/>
  <c r="E14" i="15"/>
  <c r="E11" i="15"/>
  <c r="E20" i="15"/>
  <c r="E10" i="15"/>
  <c r="E12" i="15"/>
  <c r="E8" i="15"/>
  <c r="E13" i="15"/>
  <c r="B6" i="17"/>
  <c r="F15" i="12"/>
  <c r="G15" i="12" s="1"/>
  <c r="E12" i="13"/>
  <c r="F9" i="12"/>
  <c r="G9" i="12" s="1"/>
  <c r="F12" i="14"/>
  <c r="N11" i="14" s="1"/>
  <c r="F13" i="14"/>
  <c r="G13" i="14" s="1"/>
  <c r="F14" i="14"/>
  <c r="G14" i="14" s="1"/>
  <c r="F11" i="14"/>
  <c r="G11" i="14" s="1"/>
  <c r="F8" i="12"/>
  <c r="G8" i="12" s="1"/>
  <c r="N16" i="15" l="1"/>
  <c r="N16" i="11"/>
  <c r="K2" i="17" s="1"/>
  <c r="N15" i="15"/>
  <c r="N19" i="15" s="1"/>
  <c r="N15" i="13"/>
  <c r="N19" i="13" s="1"/>
  <c r="N15" i="11"/>
  <c r="N19" i="11" s="1"/>
  <c r="N16" i="13"/>
  <c r="K4" i="17" s="1"/>
  <c r="F20" i="15"/>
  <c r="G20" i="15" s="1"/>
  <c r="F18" i="16"/>
  <c r="G18" i="16" s="1"/>
  <c r="G12" i="12"/>
  <c r="K26" i="12" s="1"/>
  <c r="K27" i="12" s="1"/>
  <c r="F3" i="17"/>
  <c r="F12" i="16"/>
  <c r="N16" i="16"/>
  <c r="F9" i="11"/>
  <c r="G9" i="11" s="1"/>
  <c r="F10" i="11"/>
  <c r="G10" i="11" s="1"/>
  <c r="G12" i="14"/>
  <c r="K27" i="14" s="1"/>
  <c r="K28" i="14" s="1"/>
  <c r="F5" i="17"/>
  <c r="K6" i="17"/>
  <c r="F11" i="15"/>
  <c r="N11" i="15" s="1"/>
  <c r="F8" i="13"/>
  <c r="G8" i="13" s="1"/>
  <c r="F14" i="15"/>
  <c r="G14" i="15" s="1"/>
  <c r="F11" i="13"/>
  <c r="N11" i="13" s="1"/>
  <c r="F13" i="13"/>
  <c r="G13" i="13" s="1"/>
  <c r="F11" i="16"/>
  <c r="G11" i="16" s="1"/>
  <c r="B11" i="17"/>
  <c r="B10" i="17"/>
  <c r="F8" i="11"/>
  <c r="G8" i="11" s="1"/>
  <c r="J5" i="17"/>
  <c r="N5" i="17"/>
  <c r="F10" i="16"/>
  <c r="G10" i="16" s="1"/>
  <c r="F13" i="15"/>
  <c r="G13" i="15" s="1"/>
  <c r="F9" i="13"/>
  <c r="G9" i="13" s="1"/>
  <c r="F8" i="15"/>
  <c r="G8" i="15" s="1"/>
  <c r="F14" i="13"/>
  <c r="G14" i="13" s="1"/>
  <c r="F11" i="11"/>
  <c r="G11" i="11" s="1"/>
  <c r="F16" i="11"/>
  <c r="G16" i="11" s="1"/>
  <c r="F19" i="11"/>
  <c r="G19" i="11" s="1"/>
  <c r="F12" i="13"/>
  <c r="G12" i="13" s="1"/>
  <c r="F12" i="15"/>
  <c r="G12" i="15" s="1"/>
  <c r="F20" i="13"/>
  <c r="G20" i="13" s="1"/>
  <c r="F9" i="16"/>
  <c r="G9" i="16" s="1"/>
  <c r="F8" i="16"/>
  <c r="G8" i="16" s="1"/>
  <c r="N15" i="16"/>
  <c r="N19" i="16" s="1"/>
  <c r="F15" i="11"/>
  <c r="G15" i="11" s="1"/>
  <c r="F15" i="13"/>
  <c r="G15" i="13" s="1"/>
  <c r="J3" i="17"/>
  <c r="N3" i="17"/>
  <c r="F10" i="15"/>
  <c r="G10" i="15" s="1"/>
  <c r="F19" i="13"/>
  <c r="G19" i="13" s="1"/>
  <c r="F12" i="11"/>
  <c r="N11" i="11" s="1"/>
  <c r="F16" i="16"/>
  <c r="G16" i="16" s="1"/>
  <c r="F14" i="11"/>
  <c r="G14" i="11" s="1"/>
  <c r="H18" i="15" l="1"/>
  <c r="J17" i="15"/>
  <c r="K27" i="13"/>
  <c r="K28" i="13" s="1"/>
  <c r="K31" i="13" s="1"/>
  <c r="K32" i="13" s="1"/>
  <c r="J17" i="14"/>
  <c r="K17" i="14" s="1"/>
  <c r="J15" i="14"/>
  <c r="K15" i="14" s="1"/>
  <c r="J16" i="14"/>
  <c r="K16" i="14" s="1"/>
  <c r="N10" i="12"/>
  <c r="N8" i="12"/>
  <c r="C3" i="17" s="1"/>
  <c r="N8" i="14"/>
  <c r="C5" i="17" s="1"/>
  <c r="N10" i="14"/>
  <c r="G12" i="16"/>
  <c r="K23" i="16" s="1"/>
  <c r="K24" i="16" s="1"/>
  <c r="N11" i="16"/>
  <c r="N6" i="17"/>
  <c r="J6" i="17"/>
  <c r="J9" i="14"/>
  <c r="K9" i="14" s="1"/>
  <c r="J11" i="14"/>
  <c r="K11" i="14" s="1"/>
  <c r="J12" i="14"/>
  <c r="N9" i="14" s="1"/>
  <c r="J8" i="14"/>
  <c r="K8" i="14" s="1"/>
  <c r="J14" i="14"/>
  <c r="K14" i="14" s="1"/>
  <c r="J20" i="14"/>
  <c r="K20" i="14" s="1"/>
  <c r="J10" i="14"/>
  <c r="K10" i="14" s="1"/>
  <c r="J13" i="14"/>
  <c r="K13" i="14" s="1"/>
  <c r="J12" i="12"/>
  <c r="N9" i="12" s="1"/>
  <c r="J9" i="12"/>
  <c r="K9" i="12" s="1"/>
  <c r="J18" i="12"/>
  <c r="K18" i="12" s="1"/>
  <c r="J13" i="12"/>
  <c r="K13" i="12" s="1"/>
  <c r="J15" i="12"/>
  <c r="K15" i="12" s="1"/>
  <c r="J10" i="12"/>
  <c r="K10" i="12" s="1"/>
  <c r="J8" i="12"/>
  <c r="K8" i="12" s="1"/>
  <c r="J11" i="12"/>
  <c r="K11" i="12" s="1"/>
  <c r="J14" i="12"/>
  <c r="K14" i="12" s="1"/>
  <c r="N4" i="17"/>
  <c r="J4" i="17"/>
  <c r="F2" i="17"/>
  <c r="G12" i="11"/>
  <c r="K10" i="17"/>
  <c r="K11" i="17"/>
  <c r="J2" i="17"/>
  <c r="N2" i="17"/>
  <c r="G11" i="13"/>
  <c r="F4" i="17"/>
  <c r="F6" i="17"/>
  <c r="G11" i="15"/>
  <c r="J18" i="15" l="1"/>
  <c r="K17" i="15" s="1"/>
  <c r="K18" i="15" s="1"/>
  <c r="K29" i="15"/>
  <c r="K32" i="15" s="1"/>
  <c r="K33" i="15" s="1"/>
  <c r="K28" i="12"/>
  <c r="K29" i="12" s="1"/>
  <c r="H16" i="14"/>
  <c r="I16" i="14" s="1"/>
  <c r="H17" i="14"/>
  <c r="I17" i="14" s="1"/>
  <c r="H15" i="14"/>
  <c r="I15" i="14" s="1"/>
  <c r="N10" i="13"/>
  <c r="N8" i="13"/>
  <c r="C4" i="17" s="1"/>
  <c r="E3" i="17"/>
  <c r="H14" i="12"/>
  <c r="I14" i="12" s="1"/>
  <c r="H8" i="12"/>
  <c r="H10" i="12"/>
  <c r="I10" i="12" s="1"/>
  <c r="H9" i="12"/>
  <c r="I9" i="12" s="1"/>
  <c r="H18" i="12"/>
  <c r="I18" i="12" s="1"/>
  <c r="H11" i="12"/>
  <c r="I11" i="12" s="1"/>
  <c r="H13" i="12"/>
  <c r="I13" i="12" s="1"/>
  <c r="H12" i="12"/>
  <c r="H15" i="12"/>
  <c r="I15" i="12" s="1"/>
  <c r="F10" i="17"/>
  <c r="F11" i="17"/>
  <c r="E5" i="17"/>
  <c r="H13" i="14"/>
  <c r="I13" i="14" s="1"/>
  <c r="H12" i="14"/>
  <c r="H9" i="14"/>
  <c r="I9" i="14" s="1"/>
  <c r="H20" i="14"/>
  <c r="I20" i="14" s="1"/>
  <c r="H14" i="14"/>
  <c r="I14" i="14" s="1"/>
  <c r="H10" i="14"/>
  <c r="I10" i="14" s="1"/>
  <c r="H8" i="14"/>
  <c r="H11" i="14"/>
  <c r="I11" i="14" s="1"/>
  <c r="J11" i="17"/>
  <c r="J10" i="17"/>
  <c r="N10" i="17"/>
  <c r="N11" i="17"/>
  <c r="K12" i="12"/>
  <c r="D3" i="17"/>
  <c r="D5" i="17"/>
  <c r="K12" i="14"/>
  <c r="J10" i="13"/>
  <c r="K10" i="13" s="1"/>
  <c r="J14" i="13"/>
  <c r="K14" i="13" s="1"/>
  <c r="J11" i="13"/>
  <c r="N9" i="13" s="1"/>
  <c r="J15" i="13"/>
  <c r="K15" i="13" s="1"/>
  <c r="J9" i="13"/>
  <c r="K9" i="13" s="1"/>
  <c r="J20" i="13"/>
  <c r="K20" i="13" s="1"/>
  <c r="J8" i="13"/>
  <c r="K8" i="13" s="1"/>
  <c r="K33" i="13" s="1"/>
  <c r="K35" i="13" s="1"/>
  <c r="J12" i="13"/>
  <c r="K12" i="13" s="1"/>
  <c r="J13" i="13"/>
  <c r="K13" i="13" s="1"/>
  <c r="J19" i="13"/>
  <c r="K19" i="13" s="1"/>
  <c r="J18" i="16"/>
  <c r="K18" i="16" s="1"/>
  <c r="J12" i="16"/>
  <c r="J13" i="16"/>
  <c r="K13" i="16" s="1"/>
  <c r="J9" i="16"/>
  <c r="K9" i="16" s="1"/>
  <c r="N8" i="16"/>
  <c r="J16" i="16"/>
  <c r="K16" i="16" s="1"/>
  <c r="J11" i="16"/>
  <c r="K11" i="16" s="1"/>
  <c r="J8" i="16"/>
  <c r="K8" i="16" s="1"/>
  <c r="J17" i="16"/>
  <c r="K17" i="16" s="1"/>
  <c r="N10" i="16"/>
  <c r="J10" i="16"/>
  <c r="K10" i="16" s="1"/>
  <c r="K13" i="15" l="1"/>
  <c r="L13" i="15" s="1"/>
  <c r="L8" i="15"/>
  <c r="J20" i="15"/>
  <c r="K20" i="15" s="1"/>
  <c r="K12" i="15"/>
  <c r="L12" i="15" s="1"/>
  <c r="K9" i="15"/>
  <c r="L9" i="15" s="1"/>
  <c r="K14" i="15"/>
  <c r="L14" i="15" s="1"/>
  <c r="K10" i="15"/>
  <c r="L10" i="15" s="1"/>
  <c r="N8" i="15"/>
  <c r="C6" i="17" s="1"/>
  <c r="N10" i="15"/>
  <c r="H9" i="15" s="1"/>
  <c r="I9" i="15" s="1"/>
  <c r="J9" i="15" s="1"/>
  <c r="K11" i="15"/>
  <c r="D6" i="17" s="1"/>
  <c r="K31" i="14"/>
  <c r="K30" i="14"/>
  <c r="K32" i="14" s="1"/>
  <c r="K34" i="13"/>
  <c r="N18" i="14"/>
  <c r="M5" i="17" s="1"/>
  <c r="N14" i="14"/>
  <c r="I5" i="17" s="1"/>
  <c r="N17" i="14"/>
  <c r="L5" i="17" s="1"/>
  <c r="N17" i="12"/>
  <c r="N18" i="12"/>
  <c r="M3" i="17" s="1"/>
  <c r="N14" i="12"/>
  <c r="I3" i="17" s="1"/>
  <c r="N13" i="12"/>
  <c r="N13" i="14"/>
  <c r="H5" i="17" s="1"/>
  <c r="D4" i="17"/>
  <c r="K11" i="13"/>
  <c r="N13" i="13" s="1"/>
  <c r="H4" i="17" s="1"/>
  <c r="H3" i="17"/>
  <c r="I8" i="14"/>
  <c r="I8" i="12"/>
  <c r="L3" i="17"/>
  <c r="H13" i="16"/>
  <c r="I13" i="16" s="1"/>
  <c r="H17" i="16"/>
  <c r="I17" i="16" s="1"/>
  <c r="H9" i="16"/>
  <c r="I9" i="16" s="1"/>
  <c r="H18" i="16"/>
  <c r="I18" i="16" s="1"/>
  <c r="H11" i="16"/>
  <c r="I11" i="16" s="1"/>
  <c r="H16" i="16"/>
  <c r="I16" i="16" s="1"/>
  <c r="H10" i="16"/>
  <c r="I10" i="16" s="1"/>
  <c r="H8" i="16"/>
  <c r="H12" i="16"/>
  <c r="I12" i="14"/>
  <c r="K25" i="14"/>
  <c r="N14" i="16"/>
  <c r="N13" i="16"/>
  <c r="K12" i="16"/>
  <c r="N9" i="16"/>
  <c r="E4" i="17"/>
  <c r="H10" i="13"/>
  <c r="I10" i="13" s="1"/>
  <c r="H9" i="13"/>
  <c r="I9" i="13" s="1"/>
  <c r="H19" i="13"/>
  <c r="I19" i="13" s="1"/>
  <c r="H15" i="13"/>
  <c r="I15" i="13" s="1"/>
  <c r="H8" i="13"/>
  <c r="H20" i="13"/>
  <c r="I20" i="13" s="1"/>
  <c r="H13" i="13"/>
  <c r="I13" i="13" s="1"/>
  <c r="H11" i="13"/>
  <c r="H14" i="13"/>
  <c r="I14" i="13" s="1"/>
  <c r="H12" i="13"/>
  <c r="I12" i="13" s="1"/>
  <c r="I12" i="12"/>
  <c r="K24" i="12"/>
  <c r="H14" i="15"/>
  <c r="I14" i="15" s="1"/>
  <c r="J14" i="15" s="1"/>
  <c r="H20" i="15" l="1"/>
  <c r="I20" i="15" s="1"/>
  <c r="H8" i="15"/>
  <c r="E6" i="17"/>
  <c r="H10" i="15"/>
  <c r="I10" i="15" s="1"/>
  <c r="J10" i="15" s="1"/>
  <c r="L11" i="15"/>
  <c r="K38" i="15" s="1"/>
  <c r="H12" i="15"/>
  <c r="I12" i="15" s="1"/>
  <c r="J12" i="15" s="1"/>
  <c r="H11" i="15"/>
  <c r="I11" i="15" s="1"/>
  <c r="H13" i="15"/>
  <c r="I13" i="15" s="1"/>
  <c r="J13" i="15" s="1"/>
  <c r="N17" i="13"/>
  <c r="L4" i="17" s="1"/>
  <c r="N12" i="12"/>
  <c r="G3" i="17" s="1"/>
  <c r="N14" i="13"/>
  <c r="I4" i="17" s="1"/>
  <c r="N12" i="14"/>
  <c r="G5" i="17" s="1"/>
  <c r="N18" i="13"/>
  <c r="M4" i="17" s="1"/>
  <c r="K29" i="13"/>
  <c r="I11" i="13"/>
  <c r="K25" i="16"/>
  <c r="I12" i="16"/>
  <c r="N12" i="16" s="1"/>
  <c r="N18" i="16"/>
  <c r="N17" i="16"/>
  <c r="I8" i="16"/>
  <c r="I8" i="13"/>
  <c r="H24" i="15" l="1"/>
  <c r="K35" i="15"/>
  <c r="K37" i="15" s="1"/>
  <c r="H23" i="15"/>
  <c r="I23" i="15" s="1"/>
  <c r="N12" i="15"/>
  <c r="G6" i="17" s="1"/>
  <c r="J11" i="15"/>
  <c r="N13" i="15"/>
  <c r="H6" i="17" s="1"/>
  <c r="N14" i="15"/>
  <c r="I6" i="17" s="1"/>
  <c r="I8" i="15"/>
  <c r="J8" i="15" s="1"/>
  <c r="N17" i="15"/>
  <c r="L6" i="17" s="1"/>
  <c r="M28" i="15"/>
  <c r="K30" i="15"/>
  <c r="N18" i="15"/>
  <c r="M6" i="17" s="1"/>
  <c r="N12" i="13"/>
  <c r="G4" i="17" s="1"/>
  <c r="L34" i="15" l="1"/>
  <c r="L35" i="15" s="1"/>
  <c r="L37" i="15" s="1"/>
  <c r="K36" i="15"/>
  <c r="J8" i="11"/>
  <c r="K8" i="11" s="1"/>
  <c r="J11" i="11" l="1"/>
  <c r="K11" i="11" s="1"/>
  <c r="J19" i="11"/>
  <c r="K19" i="11" s="1"/>
  <c r="J15" i="11"/>
  <c r="K15" i="11" s="1"/>
  <c r="J14" i="11"/>
  <c r="K14" i="11" s="1"/>
  <c r="J12" i="11"/>
  <c r="N10" i="11"/>
  <c r="K26" i="11"/>
  <c r="K27" i="11" s="1"/>
  <c r="J13" i="11"/>
  <c r="K13" i="11" s="1"/>
  <c r="J10" i="11"/>
  <c r="K10" i="11" s="1"/>
  <c r="J9" i="11"/>
  <c r="K9" i="11" s="1"/>
  <c r="J16" i="11"/>
  <c r="K16" i="11" s="1"/>
  <c r="N8" i="11"/>
  <c r="C2" i="17" s="1"/>
  <c r="N9" i="11" l="1"/>
  <c r="D2" i="17" s="1"/>
  <c r="K12" i="11"/>
  <c r="N13" i="11" s="1"/>
  <c r="H2" i="17" s="1"/>
  <c r="C11" i="17"/>
  <c r="C10" i="17"/>
  <c r="K28" i="11"/>
  <c r="H12" i="11"/>
  <c r="H11" i="11"/>
  <c r="I11" i="11" s="1"/>
  <c r="H16" i="11"/>
  <c r="I16" i="11" s="1"/>
  <c r="H10" i="11"/>
  <c r="I10" i="11" s="1"/>
  <c r="H8" i="11"/>
  <c r="H14" i="11"/>
  <c r="I14" i="11" s="1"/>
  <c r="H13" i="11"/>
  <c r="I13" i="11" s="1"/>
  <c r="H19" i="11"/>
  <c r="I19" i="11" s="1"/>
  <c r="H15" i="11"/>
  <c r="I15" i="11" s="1"/>
  <c r="H9" i="11"/>
  <c r="I9" i="11" s="1"/>
  <c r="E2" i="17"/>
  <c r="N14" i="11" l="1"/>
  <c r="I2" i="17" s="1"/>
  <c r="K29" i="11"/>
  <c r="K31" i="11" s="1"/>
  <c r="K30" i="11"/>
  <c r="I10" i="17"/>
  <c r="I11" i="17"/>
  <c r="I8" i="11"/>
  <c r="N17" i="11"/>
  <c r="L2" i="17" s="1"/>
  <c r="E10" i="17"/>
  <c r="E11" i="17"/>
  <c r="D10" i="17"/>
  <c r="D11" i="17"/>
  <c r="K24" i="11"/>
  <c r="I12" i="11"/>
  <c r="N12" i="11" s="1"/>
  <c r="G2" i="17" s="1"/>
  <c r="N18" i="11"/>
  <c r="M2" i="17" s="1"/>
  <c r="H10" i="17"/>
  <c r="H11" i="17"/>
  <c r="M11" i="17" l="1"/>
  <c r="M10" i="17"/>
  <c r="G11" i="17"/>
  <c r="G10" i="17"/>
  <c r="L11" i="17"/>
  <c r="L10" i="17"/>
</calcChain>
</file>

<file path=xl/sharedStrings.xml><?xml version="1.0" encoding="utf-8"?>
<sst xmlns="http://schemas.openxmlformats.org/spreadsheetml/2006/main" count="422" uniqueCount="120">
  <si>
    <r>
      <t>C</t>
    </r>
    <r>
      <rPr>
        <b/>
        <vertAlign val="subscript"/>
        <sz val="10"/>
        <rFont val="Arial"/>
        <family val="2"/>
      </rPr>
      <t xml:space="preserve">TLP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</si>
  <si>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rPr>
        <b/>
        <sz val="14"/>
        <rFont val="Symbol"/>
        <family val="1"/>
      </rPr>
      <t>e</t>
    </r>
    <r>
      <rPr>
        <b/>
        <sz val="12"/>
        <rFont val="Calibri"/>
        <family val="2"/>
      </rPr>
      <t xml:space="preserve"> (MPa)</t>
    </r>
  </si>
  <si>
    <t>SWC</t>
  </si>
  <si>
    <t>Intercept</t>
  </si>
  <si>
    <t>Saturated water content extrapolation</t>
  </si>
  <si>
    <t>Draw a "border" above the turgor loss point</t>
  </si>
  <si>
    <t xml:space="preserve">  = Saturated Water Content (g)</t>
  </si>
  <si>
    <t>Automatically calculated from the Saturated Water Content extrapolation below</t>
  </si>
  <si>
    <t>Automatically calculated from the psiTLP slope and intercept below</t>
  </si>
  <si>
    <t>If plateau effect exists (horizontal region when the leaf is hydrated) then take points out (move row(s) to below dataset)</t>
  </si>
  <si>
    <t>M(g)</t>
  </si>
  <si>
    <t>Modify "Saturated Water Content at Saturation" formulas (cells B21 and B22 and D21), for slope and intercept and n, to include all the points above, and including, turgor loss point</t>
  </si>
  <si>
    <t>Saturated Water Content (SWC; cell L7) is now calculated from the intercept (= leaf water mass at saturation / dry mass)</t>
  </si>
  <si>
    <t xml:space="preserve">Pick points between full turgor and turgor loss, including turgor loss point  (estimate this as the point of transition between curved and linear portions)  </t>
  </si>
  <si>
    <t>Estimate where the turgor loss point is; as the point of transition between curved and linear portions</t>
  </si>
  <si>
    <t>Hint: adjust the point ranges for the linear portion (black dots); the R² should be as high as possible, with at least 5 points included.</t>
  </si>
  <si>
    <t>1.  Enter data</t>
  </si>
  <si>
    <t>A.</t>
  </si>
  <si>
    <t>Enter measured leaf water potential values and mass values, columns A and C</t>
  </si>
  <si>
    <t>B.</t>
  </si>
  <si>
    <t>2.  Plateau effect and saturated water content estimation</t>
  </si>
  <si>
    <t>Look at the "plateau effect and saturated water content" graph</t>
  </si>
  <si>
    <t>C.</t>
  </si>
  <si>
    <t>D.</t>
  </si>
  <si>
    <t>E.</t>
  </si>
  <si>
    <t>3.  Turgor loss point and osmotic potential at full turgor</t>
  </si>
  <si>
    <r>
      <rPr>
        <sz val="12"/>
        <rFont val="Calibri"/>
        <family val="2"/>
      </rPr>
      <t xml:space="preserve">Look at </t>
    </r>
    <r>
      <rPr>
        <sz val="12"/>
        <rFont val="Symbol"/>
        <family val="1"/>
      </rPr>
      <t xml:space="preserve"> </t>
    </r>
    <r>
      <rPr>
        <b/>
        <sz val="12"/>
        <rFont val="Symbol"/>
        <family val="1"/>
      </rPr>
      <t>Y</t>
    </r>
    <r>
      <rPr>
        <b/>
        <vertAlign val="subscript"/>
        <sz val="12"/>
        <rFont val="Arial"/>
        <family val="2"/>
      </rPr>
      <t xml:space="preserve">TLP </t>
    </r>
    <r>
      <rPr>
        <b/>
        <sz val="12"/>
        <rFont val="Arial"/>
        <family val="2"/>
      </rPr>
      <t xml:space="preserve"> </t>
    </r>
    <r>
      <rPr>
        <sz val="12"/>
        <rFont val="Calibri"/>
        <family val="2"/>
      </rPr>
      <t>graph and adjust point ranges to include all the points</t>
    </r>
  </si>
  <si>
    <t>F.</t>
  </si>
  <si>
    <t>G.</t>
  </si>
  <si>
    <t>If the turgor loss point is different from that chosen in step 3C above, return there and make the correction and continue from there</t>
  </si>
  <si>
    <r>
      <rPr>
        <b/>
        <i/>
        <u/>
        <sz val="10"/>
        <rFont val="Symbol"/>
        <family val="1"/>
      </rPr>
      <t>Y</t>
    </r>
    <r>
      <rPr>
        <b/>
        <i/>
        <u/>
        <vertAlign val="subscript"/>
        <sz val="10"/>
        <rFont val="Arial"/>
        <family val="2"/>
      </rPr>
      <t>TLP</t>
    </r>
    <r>
      <rPr>
        <b/>
        <i/>
        <u/>
        <sz val="10"/>
        <rFont val="Arial"/>
        <family val="2"/>
      </rPr>
      <t xml:space="preserve"> estimation</t>
    </r>
  </si>
  <si>
    <t>Osmotic potential at full turgor is now correctly calculated (=1/ intecept; cell L8)</t>
  </si>
  <si>
    <t>H.</t>
  </si>
  <si>
    <t>I.</t>
  </si>
  <si>
    <t>4. Elasticity and capacitance</t>
  </si>
  <si>
    <t>Leaf area (cm2)</t>
  </si>
  <si>
    <t>The capacitance is the slope of RWC versus leaf water potential, and tends to increase below turgor loss point</t>
  </si>
  <si>
    <t>Enter leaf dry mass and bag mass, cells B3 and B4, and leaf area, cell E3 (optional, for calculation of absolute capacitance, Cft*)</t>
  </si>
  <si>
    <t>Pink cells: data entry</t>
  </si>
  <si>
    <t>Yellow cells: formulas need adjusting</t>
  </si>
  <si>
    <t>Orange cells: automatic calculation</t>
  </si>
  <si>
    <r>
      <rPr>
        <b/>
        <sz val="11"/>
        <color indexed="8"/>
        <rFont val="Symbol"/>
        <family val="1"/>
      </rPr>
      <t>Y</t>
    </r>
    <r>
      <rPr>
        <b/>
        <sz val="11"/>
        <color indexed="8"/>
        <rFont val="Calibri"/>
        <family val="2"/>
      </rPr>
      <t xml:space="preserve"> (MPa)</t>
    </r>
  </si>
  <si>
    <r>
      <t>(-1/</t>
    </r>
    <r>
      <rPr>
        <b/>
        <sz val="11"/>
        <color indexed="8"/>
        <rFont val="Symbol"/>
        <family val="1"/>
      </rPr>
      <t>Y)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</si>
  <si>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o</t>
    </r>
    <r>
      <rPr>
        <b/>
        <sz val="11"/>
        <color indexed="8"/>
        <rFont val="Calibri"/>
        <family val="2"/>
      </rPr>
      <t xml:space="preserve"> (MPa)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</si>
  <si>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P</t>
    </r>
    <r>
      <rPr>
        <b/>
        <sz val="11"/>
        <color indexed="8"/>
        <rFont val="Calibri"/>
        <family val="2"/>
      </rPr>
      <t xml:space="preserve"> (MPa)</t>
    </r>
  </si>
  <si>
    <t>Mass (g)</t>
  </si>
  <si>
    <t>Leaf dry mass(g)</t>
  </si>
  <si>
    <r>
      <rPr>
        <b/>
        <sz val="10"/>
        <rFont val="Symbol"/>
        <family val="1"/>
      </rPr>
      <t>Y</t>
    </r>
    <r>
      <rPr>
        <b/>
        <vertAlign val="subscript"/>
        <sz val="10"/>
        <rFont val="Arial"/>
        <family val="2"/>
      </rPr>
      <t>TLP</t>
    </r>
    <r>
      <rPr>
        <b/>
        <sz val="10"/>
        <rFont val="Arial"/>
        <family val="2"/>
      </rPr>
      <t xml:space="preserve"> (MPa)</t>
    </r>
  </si>
  <si>
    <t>n</t>
  </si>
  <si>
    <t>Bag (g)</t>
  </si>
  <si>
    <t>Slope</t>
  </si>
  <si>
    <t>Leaf water (g)</t>
  </si>
  <si>
    <r>
      <rPr>
        <b/>
        <sz val="10"/>
        <rFont val="Symbol"/>
        <family val="1"/>
      </rPr>
      <t>P</t>
    </r>
    <r>
      <rPr>
        <b/>
        <vertAlign val="subscript"/>
        <sz val="10"/>
        <rFont val="Arial"/>
        <family val="2"/>
      </rPr>
      <t xml:space="preserve">o </t>
    </r>
    <r>
      <rPr>
        <b/>
        <sz val="10"/>
        <rFont val="Arial"/>
        <family val="2"/>
      </rPr>
      <t>(MPa)</t>
    </r>
  </si>
  <si>
    <r>
      <t>C</t>
    </r>
    <r>
      <rPr>
        <b/>
        <vertAlign val="subscript"/>
        <sz val="10"/>
        <rFont val="Arial"/>
        <family val="2"/>
      </rPr>
      <t xml:space="preserve">FT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</si>
  <si>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rPr>
        <b/>
        <sz val="11"/>
        <color indexed="8"/>
        <rFont val="Calibri"/>
        <family val="2"/>
      </rPr>
      <t xml:space="preserve">Total </t>
    </r>
    <r>
      <rPr>
        <b/>
        <sz val="11"/>
        <color indexed="8"/>
        <rFont val="Calibri"/>
        <family val="2"/>
      </rPr>
      <t>RWC</t>
    </r>
  </si>
  <si>
    <r>
      <rPr>
        <b/>
        <sz val="11"/>
        <color indexed="8"/>
        <rFont val="Calibri"/>
        <family val="2"/>
      </rPr>
      <t xml:space="preserve">Total </t>
    </r>
    <r>
      <rPr>
        <b/>
        <sz val="11"/>
        <color indexed="8"/>
        <rFont val="Calibri"/>
        <family val="2"/>
      </rPr>
      <t>RWC(%)</t>
    </r>
  </si>
  <si>
    <r>
      <t>100-</t>
    </r>
    <r>
      <rPr>
        <b/>
        <sz val="11"/>
        <color indexed="8"/>
        <rFont val="Calibri"/>
        <family val="2"/>
      </rPr>
      <t xml:space="preserve"> total </t>
    </r>
    <r>
      <rPr>
        <b/>
        <sz val="11"/>
        <color indexed="8"/>
        <rFont val="Calibri"/>
        <family val="2"/>
      </rPr>
      <t>RWC</t>
    </r>
  </si>
  <si>
    <t>Refer to the cell with total RWC value at turgor loss point (from column F)</t>
  </si>
  <si>
    <t>The slope of psiP versus total RWC, above and including turgor loss point</t>
  </si>
  <si>
    <t>The slope of total RWC vs psiLEAF, including points above and including turgor loss point</t>
  </si>
  <si>
    <t>The slope of total RWC vs psiLEAF, including points below and including turgor loss point</t>
  </si>
  <si>
    <t xml:space="preserve">Symplastic RWC </t>
  </si>
  <si>
    <t>The slope of symplastic RWC vs. psiLEAF, including points above and including turgor loss point</t>
  </si>
  <si>
    <t>The slope of symplastic RWC vs. psiLEAF, including points below and including turgor loss point</t>
  </si>
  <si>
    <t>Symplastic RWC (%)</t>
  </si>
  <si>
    <t>The slope of psiP versus symplastic RWC, above and including turgor loss point</t>
  </si>
  <si>
    <t>Refer to the cell with symplastic RWC value at turgor loss point (from column I)</t>
  </si>
  <si>
    <t>Refer to the cell with PSIo at turgor loss point (from column K)</t>
  </si>
  <si>
    <t>In green YTLP area (cells K21, K22, and L20), adjust slope, intercept and n formulas to include turgor loss point and points below</t>
  </si>
  <si>
    <t>In cell L9, adjust formula for turgor loss point (should refer to column H, cell below the border)</t>
  </si>
  <si>
    <t>Apoplastic fraction is now correctly calculated (= RWC at which y = 0 for the regression in cells K21 and K22; cell L10)</t>
  </si>
  <si>
    <t>In cell L11, adjust formula for total RWC at turgor loss point (should refer to column F, cell below the border)</t>
  </si>
  <si>
    <t>In cell L12, adjust formula for symplastic RWC at turgor loss point (should refer to column I, cell below the border)</t>
  </si>
  <si>
    <t>J.</t>
  </si>
  <si>
    <t>K.</t>
  </si>
  <si>
    <t>In cell L13, adjust formula, so that the modulus of elasticity is calculated as the slope of psiP versus total RWC, above and including turgor loss point</t>
  </si>
  <si>
    <t>In cell L14, adjust formula, so that the modulus of elasticity is calculated as the slope of psiP versus symplastic RWC, above and including turgor loss point</t>
  </si>
  <si>
    <t>Adjust formula in cell L15 for C at full turgor using total RWC, to include points above and including turgor loss point</t>
  </si>
  <si>
    <t>Adjust formula in cell L16 for C at full turgor using total RWC, to include points below and including turgor loss point</t>
  </si>
  <si>
    <t>Adjust formula in cell L16 for C at full turgor using symplastic RWC, to include points above and including turgor loss point</t>
  </si>
  <si>
    <t>Adjust formula in cell L17 for C at full turgor using symplastic RWC, to include points below and including turgor loss point</t>
  </si>
  <si>
    <t>Absolute capacitance at full turgor for total RWC (cell L18)and symplastic RWC (cell L19) are now calculated</t>
  </si>
  <si>
    <r>
      <t>a</t>
    </r>
    <r>
      <rPr>
        <b/>
        <vertAlign val="subscript"/>
        <sz val="10"/>
        <rFont val="Arial"/>
        <family val="2"/>
      </rPr>
      <t>f</t>
    </r>
    <r>
      <rPr>
        <b/>
        <sz val="10"/>
        <rFont val="Arial"/>
        <family val="2"/>
      </rPr>
      <t xml:space="preserve"> (%)</t>
    </r>
  </si>
  <si>
    <r>
      <t>e</t>
    </r>
    <r>
      <rPr>
        <sz val="12"/>
        <rFont val="Symbol"/>
        <family val="1"/>
      </rPr>
      <t>*</t>
    </r>
    <r>
      <rPr>
        <b/>
        <sz val="12"/>
        <rFont val="Calibri"/>
        <family val="2"/>
      </rPr>
      <t xml:space="preserve"> (MPa)</t>
    </r>
  </si>
  <si>
    <r>
      <t>RWC*</t>
    </r>
    <r>
      <rPr>
        <b/>
        <vertAlign val="subscript"/>
        <sz val="11"/>
        <rFont val="Arial"/>
        <family val="2"/>
      </rPr>
      <t>TLP</t>
    </r>
    <r>
      <rPr>
        <b/>
        <sz val="11"/>
        <rFont val="Arial"/>
        <family val="2"/>
      </rPr>
      <t xml:space="preserve"> (%)</t>
    </r>
  </si>
  <si>
    <r>
      <t>RWC</t>
    </r>
    <r>
      <rPr>
        <b/>
        <vertAlign val="subscript"/>
        <sz val="10"/>
        <rFont val="Arial"/>
        <family val="2"/>
      </rPr>
      <t>TLP</t>
    </r>
    <r>
      <rPr>
        <b/>
        <sz val="10"/>
        <rFont val="Arial"/>
        <family val="2"/>
      </rPr>
      <t xml:space="preserve">  (%)</t>
    </r>
  </si>
  <si>
    <r>
      <t>C*</t>
    </r>
    <r>
      <rPr>
        <b/>
        <vertAlign val="subscript"/>
        <sz val="10"/>
        <rFont val="Arial"/>
        <family val="2"/>
      </rPr>
      <t xml:space="preserve">FT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</si>
  <si>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t>C*</t>
    </r>
    <r>
      <rPr>
        <b/>
        <vertAlign val="subscript"/>
        <sz val="10"/>
        <rFont val="Arial"/>
        <family val="2"/>
      </rPr>
      <t xml:space="preserve">TLP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</si>
  <si>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t>C</t>
    </r>
    <r>
      <rPr>
        <b/>
        <vertAlign val="subscript"/>
        <sz val="10"/>
        <rFont val="Arial"/>
        <family val="2"/>
      </rPr>
      <t xml:space="preserve">FT, absolute </t>
    </r>
    <r>
      <rPr>
        <b/>
        <sz val="10"/>
        <rFont val="Arial"/>
        <family val="2"/>
      </rPr>
      <t>(mol m-2 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</si>
  <si>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>Po (MPa)</t>
  </si>
  <si>
    <t>YTLP (MPa)</t>
  </si>
  <si>
    <t>af (%)</t>
  </si>
  <si>
    <t>RWC*TLP (%)</t>
  </si>
  <si>
    <t>RWCTLP  (%)</t>
  </si>
  <si>
    <t>e* (MPa)</t>
  </si>
  <si>
    <t>e (MPa)</t>
  </si>
  <si>
    <t>C*FT (MPa-1)</t>
  </si>
  <si>
    <t>C*TLP (MPa-1)</t>
  </si>
  <si>
    <t>CFT (MPa-1)</t>
  </si>
  <si>
    <t>CTLP (MPa-1)</t>
  </si>
  <si>
    <t>CFT, absolute (mol m-2 MPa-1)</t>
  </si>
  <si>
    <t>LEAF</t>
  </si>
  <si>
    <t>Plateau effect</t>
  </si>
  <si>
    <t>average</t>
  </si>
  <si>
    <t>SE</t>
  </si>
  <si>
    <t>=</t>
  </si>
  <si>
    <t>autoPV</t>
  </si>
  <si>
    <t>pio</t>
  </si>
  <si>
    <t>maxpsip</t>
  </si>
  <si>
    <t>1. fit line to the points below TLP for 1/psiL vs 1-RWC. The y-intercept of this line is pi_o, the negative of that number is max psi_p</t>
  </si>
  <si>
    <t>2. calculate psi_p based on subtracting psi_s (from the line in previous step) for each psiL point</t>
  </si>
  <si>
    <t>RWCtlp</t>
  </si>
  <si>
    <t>psi_tlp</t>
  </si>
  <si>
    <t>e</t>
  </si>
  <si>
    <t>3. fit a line through psi_p vs 1-RWC. The x-intercept is the RWDtlp. 1-RWDtlp is the RWCtlp</t>
  </si>
  <si>
    <t>4. put the RWDtlp into the eqn from item 1 to get the psi_tlp</t>
  </si>
  <si>
    <t>5. to estimate e, use maxpsi_p/(1-RWCtlp)</t>
  </si>
  <si>
    <t>RWDtlp</t>
  </si>
  <si>
    <t>use the 4 lowest points</t>
  </si>
  <si>
    <t>use the 4 highest (non-plateau)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</si>
</sst>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"/>
    <numFmt numFmtId="167" formatCode="0.0000000"/>
  </numFmts>
  <fonts count="33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sz val="10"/>
      <name val="Arial"/>
      <family val="2"/>
    </font>
    <font>
      <b/>
      <sz val="10"/>
      <name val="Symbol"/>
      <family val="1"/>
    </font>
    <font>
      <b/>
      <vertAlign val="subscript"/>
      <sz val="10"/>
      <name val="Arial"/>
      <family val="2"/>
    </font>
    <font>
      <i/>
      <sz val="11"/>
      <color indexed="8"/>
      <name val="Calibri"/>
      <family val="2"/>
    </font>
    <font>
      <b/>
      <sz val="12"/>
      <name val="Symbol"/>
      <family val="1"/>
    </font>
    <font>
      <b/>
      <sz val="12"/>
      <name val="Calibri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14"/>
      <name val="Symbol"/>
      <family val="1"/>
    </font>
    <font>
      <sz val="8"/>
      <name val="Calibri"/>
      <family val="2"/>
      <charset val="177"/>
    </font>
    <font>
      <sz val="12"/>
      <name val="Symbol"/>
      <family val="1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2"/>
      <name val="Calibri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i/>
      <u/>
      <sz val="10"/>
      <name val="Arial"/>
      <family val="2"/>
    </font>
    <font>
      <b/>
      <i/>
      <u/>
      <sz val="10"/>
      <name val="Symbol"/>
      <family val="1"/>
    </font>
    <font>
      <b/>
      <i/>
      <u/>
      <vertAlign val="subscript"/>
      <sz val="10"/>
      <name val="Arial"/>
      <family val="2"/>
    </font>
    <font>
      <b/>
      <sz val="12"/>
      <color indexed="8"/>
      <name val="Calibri"/>
      <family val="2"/>
    </font>
    <font>
      <b/>
      <sz val="11"/>
      <color indexed="8"/>
      <name val="Symbol"/>
      <family val="1"/>
    </font>
    <font>
      <b/>
      <vertAlign val="subscript"/>
      <sz val="11"/>
      <color indexed="8"/>
      <name val="Calibri"/>
      <family val="2"/>
    </font>
    <font>
      <b/>
      <sz val="11"/>
      <name val="Arial"/>
      <family val="2"/>
    </font>
    <font>
      <b/>
      <vertAlign val="subscript"/>
      <sz val="11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9A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94"/>
        <bgColor indexed="64"/>
      </patternFill>
    </fill>
    <fill>
      <patternFill patternType="solid">
        <fgColor rgb="FFFFF882"/>
        <bgColor indexed="64"/>
      </patternFill>
    </fill>
    <fill>
      <patternFill patternType="solid">
        <fgColor rgb="FFFFF391"/>
        <bgColor rgb="FF000000"/>
      </patternFill>
    </fill>
    <fill>
      <patternFill patternType="solid">
        <fgColor rgb="FFFFF39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0" xfId="0" applyBorder="1"/>
    <xf numFmtId="0" fontId="0" fillId="0" borderId="0" xfId="0" applyFont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Border="1"/>
    <xf numFmtId="164" fontId="0" fillId="0" borderId="0" xfId="0" applyNumberForma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0" fillId="0" borderId="0" xfId="0" applyNumberFormat="1" applyBorder="1"/>
    <xf numFmtId="166" fontId="0" fillId="0" borderId="0" xfId="0" applyNumberFormat="1"/>
    <xf numFmtId="2" fontId="0" fillId="0" borderId="0" xfId="0" applyNumberFormat="1"/>
    <xf numFmtId="0" fontId="1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0" applyNumberFormat="1"/>
    <xf numFmtId="165" fontId="0" fillId="0" borderId="0" xfId="0" applyNumberFormat="1" applyBorder="1" applyAlignment="1">
      <alignment horizontal="right"/>
    </xf>
    <xf numFmtId="166" fontId="0" fillId="0" borderId="0" xfId="0" applyNumberFormat="1" applyBorder="1"/>
    <xf numFmtId="0" fontId="3" fillId="0" borderId="0" xfId="0" applyFont="1" applyFill="1" applyBorder="1"/>
    <xf numFmtId="164" fontId="1" fillId="0" borderId="0" xfId="0" applyNumberFormat="1" applyFont="1" applyFill="1" applyBorder="1"/>
    <xf numFmtId="164" fontId="14" fillId="0" borderId="0" xfId="0" applyNumberFormat="1" applyFont="1"/>
    <xf numFmtId="0" fontId="15" fillId="0" borderId="0" xfId="0" applyFont="1" applyAlignment="1">
      <alignment horizontal="left"/>
    </xf>
    <xf numFmtId="164" fontId="0" fillId="0" borderId="0" xfId="0" applyNumberFormat="1" applyFill="1" applyBorder="1"/>
    <xf numFmtId="164" fontId="2" fillId="0" borderId="0" xfId="0" applyNumberFormat="1" applyFont="1" applyBorder="1" applyAlignment="1">
      <alignment horizontal="left"/>
    </xf>
    <xf numFmtId="164" fontId="0" fillId="0" borderId="2" xfId="0" applyNumberFormat="1" applyFill="1" applyBorder="1"/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/>
    <xf numFmtId="2" fontId="0" fillId="0" borderId="2" xfId="0" applyNumberFormat="1" applyBorder="1"/>
    <xf numFmtId="166" fontId="0" fillId="0" borderId="2" xfId="0" applyNumberFormat="1" applyBorder="1"/>
    <xf numFmtId="165" fontId="0" fillId="2" borderId="0" xfId="0" applyNumberFormat="1" applyFill="1" applyBorder="1" applyAlignment="1">
      <alignment horizontal="right"/>
    </xf>
    <xf numFmtId="0" fontId="0" fillId="0" borderId="0" xfId="0" applyFill="1"/>
    <xf numFmtId="0" fontId="19" fillId="0" borderId="0" xfId="0" applyFont="1" applyFill="1"/>
    <xf numFmtId="0" fontId="19" fillId="0" borderId="0" xfId="0" applyNumberFormat="1" applyFont="1" applyFill="1"/>
    <xf numFmtId="0" fontId="17" fillId="0" borderId="0" xfId="0" applyFont="1" applyFill="1" applyBorder="1"/>
    <xf numFmtId="165" fontId="0" fillId="2" borderId="0" xfId="0" applyNumberFormat="1" applyFill="1" applyAlignment="1">
      <alignment horizontal="right"/>
    </xf>
    <xf numFmtId="0" fontId="0" fillId="2" borderId="0" xfId="0" applyFill="1" applyBorder="1" applyAlignment="1">
      <alignment horizontal="left"/>
    </xf>
    <xf numFmtId="166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164" fontId="0" fillId="3" borderId="0" xfId="0" applyNumberFormat="1" applyFill="1" applyBorder="1"/>
    <xf numFmtId="165" fontId="0" fillId="2" borderId="0" xfId="0" applyNumberFormat="1" applyFill="1"/>
    <xf numFmtId="0" fontId="0" fillId="2" borderId="0" xfId="0" applyFill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6" fillId="0" borderId="0" xfId="0" applyFont="1" applyFill="1" applyBorder="1"/>
    <xf numFmtId="0" fontId="10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21" fillId="0" borderId="1" xfId="0" applyFont="1" applyFill="1" applyBorder="1"/>
    <xf numFmtId="0" fontId="0" fillId="0" borderId="0" xfId="0" applyFill="1" applyBorder="1"/>
    <xf numFmtId="0" fontId="20" fillId="0" borderId="0" xfId="0" applyFont="1"/>
    <xf numFmtId="0" fontId="20" fillId="0" borderId="0" xfId="0" applyFont="1" applyFill="1"/>
    <xf numFmtId="0" fontId="24" fillId="0" borderId="0" xfId="0" applyFont="1" applyFill="1"/>
    <xf numFmtId="0" fontId="8" fillId="0" borderId="0" xfId="0" applyFont="1" applyFill="1" applyBorder="1"/>
    <xf numFmtId="164" fontId="1" fillId="4" borderId="3" xfId="0" applyNumberFormat="1" applyFont="1" applyFill="1" applyBorder="1" applyAlignment="1">
      <alignment horizontal="right"/>
    </xf>
    <xf numFmtId="0" fontId="20" fillId="5" borderId="4" xfId="0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/>
    </xf>
    <xf numFmtId="166" fontId="1" fillId="2" borderId="0" xfId="0" applyNumberFormat="1" applyFont="1" applyFill="1" applyBorder="1"/>
    <xf numFmtId="166" fontId="1" fillId="4" borderId="0" xfId="0" applyNumberFormat="1" applyFont="1" applyFill="1" applyBorder="1"/>
    <xf numFmtId="0" fontId="1" fillId="5" borderId="4" xfId="0" applyFont="1" applyFill="1" applyBorder="1" applyAlignment="1">
      <alignment horizontal="center"/>
    </xf>
    <xf numFmtId="0" fontId="3" fillId="4" borderId="6" xfId="0" applyFont="1" applyFill="1" applyBorder="1"/>
    <xf numFmtId="0" fontId="0" fillId="6" borderId="0" xfId="0" applyFill="1"/>
    <xf numFmtId="0" fontId="3" fillId="7" borderId="7" xfId="0" applyFont="1" applyFill="1" applyBorder="1"/>
    <xf numFmtId="164" fontId="1" fillId="8" borderId="8" xfId="0" applyNumberFormat="1" applyFont="1" applyFill="1" applyBorder="1"/>
    <xf numFmtId="166" fontId="1" fillId="7" borderId="6" xfId="0" applyNumberFormat="1" applyFont="1" applyFill="1" applyBorder="1" applyAlignment="1">
      <alignment horizontal="left"/>
    </xf>
    <xf numFmtId="164" fontId="1" fillId="7" borderId="3" xfId="0" applyNumberFormat="1" applyFont="1" applyFill="1" applyBorder="1" applyAlignment="1">
      <alignment horizontal="right"/>
    </xf>
    <xf numFmtId="166" fontId="1" fillId="7" borderId="8" xfId="0" applyNumberFormat="1" applyFont="1" applyFill="1" applyBorder="1"/>
    <xf numFmtId="0" fontId="3" fillId="9" borderId="9" xfId="0" applyFont="1" applyFill="1" applyBorder="1"/>
    <xf numFmtId="166" fontId="1" fillId="9" borderId="10" xfId="0" applyNumberFormat="1" applyFont="1" applyFill="1" applyBorder="1"/>
    <xf numFmtId="2" fontId="29" fillId="10" borderId="3" xfId="0" applyNumberFormat="1" applyFont="1" applyFill="1" applyBorder="1"/>
    <xf numFmtId="0" fontId="3" fillId="11" borderId="7" xfId="0" applyFont="1" applyFill="1" applyBorder="1"/>
    <xf numFmtId="2" fontId="1" fillId="11" borderId="8" xfId="0" applyNumberFormat="1" applyFont="1" applyFill="1" applyBorder="1"/>
    <xf numFmtId="0" fontId="7" fillId="10" borderId="6" xfId="0" applyFont="1" applyFill="1" applyBorder="1"/>
    <xf numFmtId="166" fontId="1" fillId="11" borderId="3" xfId="0" applyNumberFormat="1" applyFont="1" applyFill="1" applyBorder="1"/>
    <xf numFmtId="0" fontId="7" fillId="11" borderId="11" xfId="0" applyFont="1" applyFill="1" applyBorder="1"/>
    <xf numFmtId="166" fontId="1" fillId="11" borderId="12" xfId="0" applyNumberFormat="1" applyFont="1" applyFill="1" applyBorder="1"/>
    <xf numFmtId="0" fontId="3" fillId="11" borderId="6" xfId="0" applyFont="1" applyFill="1" applyBorder="1"/>
    <xf numFmtId="164" fontId="1" fillId="11" borderId="3" xfId="0" applyNumberFormat="1" applyFont="1" applyFill="1" applyBorder="1"/>
    <xf numFmtId="164" fontId="1" fillId="11" borderId="8" xfId="0" applyNumberFormat="1" applyFont="1" applyFill="1" applyBorder="1"/>
    <xf numFmtId="0" fontId="3" fillId="11" borderId="11" xfId="0" applyFont="1" applyFill="1" applyBorder="1"/>
    <xf numFmtId="164" fontId="1" fillId="11" borderId="12" xfId="0" applyNumberFormat="1" applyFont="1" applyFill="1" applyBorder="1"/>
    <xf numFmtId="0" fontId="27" fillId="10" borderId="6" xfId="0" applyFont="1" applyFill="1" applyBorder="1"/>
    <xf numFmtId="166" fontId="30" fillId="3" borderId="0" xfId="0" applyNumberFormat="1" applyFont="1" applyFill="1" applyBorder="1"/>
    <xf numFmtId="164" fontId="30" fillId="3" borderId="0" xfId="0" applyNumberFormat="1" applyFont="1" applyFill="1" applyBorder="1"/>
    <xf numFmtId="0" fontId="30" fillId="3" borderId="0" xfId="0" applyFont="1" applyFill="1" applyBorder="1"/>
    <xf numFmtId="164" fontId="30" fillId="3" borderId="2" xfId="0" applyNumberFormat="1" applyFont="1" applyFill="1" applyBorder="1"/>
    <xf numFmtId="164" fontId="30" fillId="0" borderId="0" xfId="0" applyNumberFormat="1" applyFont="1" applyBorder="1"/>
    <xf numFmtId="0" fontId="7" fillId="10" borderId="4" xfId="0" applyFont="1" applyFill="1" applyBorder="1"/>
    <xf numFmtId="0" fontId="7" fillId="11" borderId="1" xfId="0" applyFont="1" applyFill="1" applyBorder="1"/>
    <xf numFmtId="164" fontId="30" fillId="0" borderId="0" xfId="0" applyNumberFormat="1" applyFont="1" applyFill="1" applyBorder="1"/>
    <xf numFmtId="166" fontId="31" fillId="0" borderId="0" xfId="0" applyNumberFormat="1" applyFont="1" applyFill="1" applyBorder="1"/>
    <xf numFmtId="166" fontId="30" fillId="3" borderId="2" xfId="0" applyNumberFormat="1" applyFont="1" applyFill="1" applyBorder="1"/>
    <xf numFmtId="0" fontId="0" fillId="3" borderId="2" xfId="0" applyFill="1" applyBorder="1"/>
    <xf numFmtId="164" fontId="30" fillId="0" borderId="2" xfId="0" applyNumberFormat="1" applyFont="1" applyFill="1" applyBorder="1"/>
    <xf numFmtId="166" fontId="30" fillId="0" borderId="0" xfId="0" applyNumberFormat="1" applyFont="1" applyFill="1" applyBorder="1"/>
    <xf numFmtId="166" fontId="0" fillId="3" borderId="2" xfId="0" applyNumberFormat="1" applyFill="1" applyBorder="1"/>
    <xf numFmtId="166" fontId="0" fillId="3" borderId="13" xfId="0" applyNumberFormat="1" applyFill="1" applyBorder="1"/>
    <xf numFmtId="164" fontId="0" fillId="0" borderId="13" xfId="0" applyNumberFormat="1" applyBorder="1"/>
    <xf numFmtId="0" fontId="0" fillId="3" borderId="13" xfId="0" applyFill="1" applyBorder="1"/>
    <xf numFmtId="166" fontId="30" fillId="3" borderId="14" xfId="0" applyNumberFormat="1" applyFont="1" applyFill="1" applyBorder="1"/>
    <xf numFmtId="166" fontId="32" fillId="0" borderId="0" xfId="0" applyNumberFormat="1" applyFont="1" applyFill="1" applyBorder="1"/>
    <xf numFmtId="166" fontId="0" fillId="0" borderId="0" xfId="0" applyNumberFormat="1" applyFill="1" applyBorder="1"/>
    <xf numFmtId="166" fontId="32" fillId="3" borderId="0" xfId="0" applyNumberFormat="1" applyFont="1" applyFill="1" applyBorder="1"/>
    <xf numFmtId="0" fontId="0" fillId="12" borderId="0" xfId="0" applyFill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075209000056873E-2"/>
          <c:y val="0.13221851028019993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QUAG_1!$G$8:$G$13</c:f>
              <c:numCache>
                <c:formatCode>0.00</c:formatCode>
                <c:ptCount val="6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  <c:pt idx="4">
                  <c:v>29.223107392065842</c:v>
                </c:pt>
                <c:pt idx="5">
                  <c:v>33.964543745557378</c:v>
                </c:pt>
              </c:numCache>
            </c:numRef>
          </c:xVal>
          <c:yVal>
            <c:numRef>
              <c:f>QUAG_1!$B$8:$B$13</c:f>
              <c:numCache>
                <c:formatCode>0.0000</c:formatCode>
                <c:ptCount val="6"/>
                <c:pt idx="0">
                  <c:v>1.5337423312883436</c:v>
                </c:pt>
                <c:pt idx="1">
                  <c:v>0.91324200913242015</c:v>
                </c:pt>
                <c:pt idx="2">
                  <c:v>0.5089058524173028</c:v>
                </c:pt>
                <c:pt idx="3">
                  <c:v>0.37721614485099964</c:v>
                </c:pt>
                <c:pt idx="4">
                  <c:v>0.35816618911174786</c:v>
                </c:pt>
                <c:pt idx="5">
                  <c:v>0.34989503149055284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71-4AC9-9C70-9B8F77C3B53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QUAG_1!$G$13:$G$16</c:f>
              <c:numCache>
                <c:formatCode>0.00</c:formatCode>
                <c:ptCount val="4"/>
                <c:pt idx="0">
                  <c:v>33.964543745557378</c:v>
                </c:pt>
                <c:pt idx="1">
                  <c:v>44.082562132291535</c:v>
                </c:pt>
                <c:pt idx="2">
                  <c:v>48.385797202853922</c:v>
                </c:pt>
                <c:pt idx="3">
                  <c:v>55.992774530106757</c:v>
                </c:pt>
              </c:numCache>
            </c:numRef>
          </c:xVal>
          <c:yVal>
            <c:numRef>
              <c:f>QUAG_1!$B$13:$B$16</c:f>
              <c:numCache>
                <c:formatCode>0.0000</c:formatCode>
                <c:ptCount val="4"/>
                <c:pt idx="0">
                  <c:v>0.34989503149055284</c:v>
                </c:pt>
                <c:pt idx="1">
                  <c:v>0.30330603579011223</c:v>
                </c:pt>
                <c:pt idx="2">
                  <c:v>0.30229746070133012</c:v>
                </c:pt>
                <c:pt idx="3">
                  <c:v>0.25614754098360654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71-4AC9-9C70-9B8F77C3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6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985777138986976E-2"/>
              <c:y val="0.2398765191944991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60029260984345E-2"/>
          <c:y val="0.1818850729918465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QUAG_1!$D$8:$D$12</c:f>
              <c:numCache>
                <c:formatCode>0.0000</c:formatCode>
                <c:ptCount val="5"/>
                <c:pt idx="0">
                  <c:v>0.18687000000000004</c:v>
                </c:pt>
                <c:pt idx="1">
                  <c:v>0.17668999999999996</c:v>
                </c:pt>
                <c:pt idx="2">
                  <c:v>0.16687000000000002</c:v>
                </c:pt>
                <c:pt idx="3">
                  <c:v>0.15153999999999995</c:v>
                </c:pt>
                <c:pt idx="4">
                  <c:v>0.14374999999999999</c:v>
                </c:pt>
              </c:numCache>
            </c:numRef>
          </c:xVal>
          <c:yVal>
            <c:numRef>
              <c:f>QUAG_1!$A$8:$A$12</c:f>
              <c:numCache>
                <c:formatCode>0.000</c:formatCode>
                <c:ptCount val="5"/>
                <c:pt idx="0">
                  <c:v>-0.65200000000000002</c:v>
                </c:pt>
                <c:pt idx="1">
                  <c:v>-1.095</c:v>
                </c:pt>
                <c:pt idx="2">
                  <c:v>-1.9650000000000001</c:v>
                </c:pt>
                <c:pt idx="3">
                  <c:v>-2.6509999999999998</c:v>
                </c:pt>
                <c:pt idx="4">
                  <c:v>-2.7919999999999998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8-48DF-978D-AD935788575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QUAG_1!$D$12:$D$16</c:f>
              <c:numCache>
                <c:formatCode>0.0000</c:formatCode>
                <c:ptCount val="5"/>
                <c:pt idx="0">
                  <c:v>0.14374999999999999</c:v>
                </c:pt>
                <c:pt idx="1">
                  <c:v>0.13411999999999996</c:v>
                </c:pt>
                <c:pt idx="2">
                  <c:v>0.11357000000000012</c:v>
                </c:pt>
                <c:pt idx="3">
                  <c:v>0.10483000000000015</c:v>
                </c:pt>
                <c:pt idx="4">
                  <c:v>8.9379999999999959E-2</c:v>
                </c:pt>
              </c:numCache>
            </c:numRef>
          </c:xVal>
          <c:yVal>
            <c:numRef>
              <c:f>QUAG_1!$A$12:$A$16</c:f>
              <c:numCache>
                <c:formatCode>0.000</c:formatCode>
                <c:ptCount val="5"/>
                <c:pt idx="0">
                  <c:v>-2.7919999999999998</c:v>
                </c:pt>
                <c:pt idx="1">
                  <c:v>-2.8580000000000001</c:v>
                </c:pt>
                <c:pt idx="2">
                  <c:v>-3.2970000000000002</c:v>
                </c:pt>
                <c:pt idx="3">
                  <c:v>-3.3079999999999998</c:v>
                </c:pt>
                <c:pt idx="4">
                  <c:v>-3.9039999999999999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8-48DF-978D-AD9357885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3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3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QUAG_1!$G$13:$G$16</c:f>
              <c:numCache>
                <c:formatCode>0.00</c:formatCode>
                <c:ptCount val="4"/>
                <c:pt idx="0">
                  <c:v>33.964543745557378</c:v>
                </c:pt>
                <c:pt idx="1">
                  <c:v>44.082562132291535</c:v>
                </c:pt>
                <c:pt idx="2">
                  <c:v>48.385797202853922</c:v>
                </c:pt>
                <c:pt idx="3">
                  <c:v>55.992774530106757</c:v>
                </c:pt>
              </c:numCache>
            </c:numRef>
          </c:xVal>
          <c:yVal>
            <c:numRef>
              <c:f>QUAG_1!$B$13:$B$16</c:f>
              <c:numCache>
                <c:formatCode>0.0000</c:formatCode>
                <c:ptCount val="4"/>
                <c:pt idx="0">
                  <c:v>0.34989503149055284</c:v>
                </c:pt>
                <c:pt idx="1">
                  <c:v>0.30330603579011223</c:v>
                </c:pt>
                <c:pt idx="2">
                  <c:v>0.30229746070133012</c:v>
                </c:pt>
                <c:pt idx="3">
                  <c:v>0.25614754098360654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E-4946-9419-B91088E4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52863"/>
        <c:axId val="1092958015"/>
      </c:scatterChart>
      <c:valAx>
        <c:axId val="10930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58015"/>
        <c:crosses val="autoZero"/>
        <c:crossBetween val="midCat"/>
      </c:valAx>
      <c:valAx>
        <c:axId val="10929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5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905074365704282E-2"/>
                  <c:y val="-0.7593981481481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QUAG_1!$G$8:$G$11</c:f>
              <c:numCache>
                <c:formatCode>0.00</c:formatCode>
                <c:ptCount val="4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</c:numCache>
            </c:numRef>
          </c:xVal>
          <c:yVal>
            <c:numRef>
              <c:f>QUAG_1!$K$8:$K$11</c:f>
              <c:numCache>
                <c:formatCode>0.000</c:formatCode>
                <c:ptCount val="4"/>
                <c:pt idx="0">
                  <c:v>1.5240923933685906</c:v>
                </c:pt>
                <c:pt idx="1">
                  <c:v>1.1846288130401266</c:v>
                </c:pt>
                <c:pt idx="2">
                  <c:v>0.42428879448707169</c:v>
                </c:pt>
                <c:pt idx="3">
                  <c:v>-6.7718001866138522E-2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4-49A1-A1D3-80F91FE2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72415"/>
        <c:axId val="1093072831"/>
      </c:scatterChart>
      <c:valAx>
        <c:axId val="109307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72831"/>
        <c:crosses val="autoZero"/>
        <c:crossBetween val="midCat"/>
      </c:valAx>
      <c:valAx>
        <c:axId val="109307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7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QUAG_1!$K$7</c:f>
              <c:strCache>
                <c:ptCount val="1"/>
                <c:pt idx="0">
                  <c:v>YP (MPa)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190354330708661"/>
                  <c:y val="-0.47236111111111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QUAG_1!$G$8:$G$12</c:f>
              <c:numCache>
                <c:formatCode>0.00</c:formatCode>
                <c:ptCount val="5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  <c:pt idx="4">
                  <c:v>29.223107392065842</c:v>
                </c:pt>
              </c:numCache>
            </c:numRef>
          </c:xVal>
          <c:yVal>
            <c:numRef>
              <c:f>QUAG_1!$K$8:$K$12</c:f>
              <c:numCache>
                <c:formatCode>0.000</c:formatCode>
                <c:ptCount val="5"/>
                <c:pt idx="0">
                  <c:v>1.5240923933685906</c:v>
                </c:pt>
                <c:pt idx="1">
                  <c:v>1.1846288130401266</c:v>
                </c:pt>
                <c:pt idx="2">
                  <c:v>0.42428879448707169</c:v>
                </c:pt>
                <c:pt idx="3">
                  <c:v>-6.7718001866138522E-2</c:v>
                </c:pt>
                <c:pt idx="4">
                  <c:v>-9.7549065299585624E-2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3-4AAB-A122-A082A66D6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038912"/>
        <c:axId val="846048896"/>
      </c:scatterChart>
      <c:valAx>
        <c:axId val="8460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48896"/>
        <c:crosses val="autoZero"/>
        <c:crossBetween val="midCat"/>
      </c:valAx>
      <c:valAx>
        <c:axId val="8460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3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QUAG_2!$G$8:$G$12</c:f>
              <c:numCache>
                <c:formatCode>0.00</c:formatCode>
                <c:ptCount val="5"/>
                <c:pt idx="0">
                  <c:v>1.1374665228497776</c:v>
                </c:pt>
                <c:pt idx="1">
                  <c:v>9.0935299569127892</c:v>
                </c:pt>
                <c:pt idx="2">
                  <c:v>22.640970328531282</c:v>
                </c:pt>
                <c:pt idx="3">
                  <c:v>30.690223378220296</c:v>
                </c:pt>
                <c:pt idx="4">
                  <c:v>37.516362722819082</c:v>
                </c:pt>
              </c:numCache>
            </c:numRef>
          </c:xVal>
          <c:yVal>
            <c:numRef>
              <c:f>QUAG_2!$B$8:$B$12</c:f>
              <c:numCache>
                <c:formatCode>0.0000</c:formatCode>
                <c:ptCount val="5"/>
                <c:pt idx="0">
                  <c:v>3.3222591362126246</c:v>
                </c:pt>
                <c:pt idx="1">
                  <c:v>1.5360983102918586</c:v>
                </c:pt>
                <c:pt idx="2">
                  <c:v>0.74626865671641784</c:v>
                </c:pt>
                <c:pt idx="3">
                  <c:v>0.42337002540220153</c:v>
                </c:pt>
                <c:pt idx="4">
                  <c:v>0.33311125916055967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4-4DD3-9830-3D9D841B094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QUAG_2!$G$12:$G$16</c:f>
              <c:numCache>
                <c:formatCode>0.00</c:formatCode>
                <c:ptCount val="5"/>
                <c:pt idx="0">
                  <c:v>37.516362722819082</c:v>
                </c:pt>
                <c:pt idx="1">
                  <c:v>43.061144852561583</c:v>
                </c:pt>
                <c:pt idx="2">
                  <c:v>51.739427807725555</c:v>
                </c:pt>
                <c:pt idx="3">
                  <c:v>54.814685123380968</c:v>
                </c:pt>
              </c:numCache>
            </c:numRef>
          </c:xVal>
          <c:yVal>
            <c:numRef>
              <c:f>QUAG_2!$B$12:$B$16</c:f>
              <c:numCache>
                <c:formatCode>0.0000</c:formatCode>
                <c:ptCount val="5"/>
                <c:pt idx="0">
                  <c:v>0.33311125916055967</c:v>
                </c:pt>
                <c:pt idx="1">
                  <c:v>0.29976019184652281</c:v>
                </c:pt>
                <c:pt idx="2">
                  <c:v>0.27878449958182322</c:v>
                </c:pt>
                <c:pt idx="3">
                  <c:v>0.25987525987525989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4-4DD3-9830-3D9D841B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.5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13228714451930623"/>
              <c:y val="0.239876370593862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QUAG_2!$D$8:$D$12</c:f>
              <c:numCache>
                <c:formatCode>0.0000</c:formatCode>
                <c:ptCount val="5"/>
                <c:pt idx="0">
                  <c:v>8.4869999999999821E-2</c:v>
                </c:pt>
                <c:pt idx="1">
                  <c:v>7.8039999999999929E-2</c:v>
                </c:pt>
                <c:pt idx="2">
                  <c:v>6.64099999999999E-2</c:v>
                </c:pt>
                <c:pt idx="3">
                  <c:v>5.9499999999999928E-2</c:v>
                </c:pt>
                <c:pt idx="4">
                  <c:v>5.3639999999999952E-2</c:v>
                </c:pt>
              </c:numCache>
            </c:numRef>
          </c:xVal>
          <c:yVal>
            <c:numRef>
              <c:f>QUAG_2!$A$8:$A$12</c:f>
              <c:numCache>
                <c:formatCode>0.000</c:formatCode>
                <c:ptCount val="5"/>
                <c:pt idx="0">
                  <c:v>-0.30099999999999999</c:v>
                </c:pt>
                <c:pt idx="1">
                  <c:v>-0.65100000000000002</c:v>
                </c:pt>
                <c:pt idx="2">
                  <c:v>-1.34</c:v>
                </c:pt>
                <c:pt idx="3">
                  <c:v>-2.3620000000000001</c:v>
                </c:pt>
                <c:pt idx="4">
                  <c:v>-3.0019999999999998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0B-44D6-B521-0DDEC3FD88A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QUAG_2!$D$12:$D$16</c:f>
              <c:numCache>
                <c:formatCode>0.0000</c:formatCode>
                <c:ptCount val="5"/>
                <c:pt idx="0">
                  <c:v>5.3639999999999952E-2</c:v>
                </c:pt>
                <c:pt idx="1">
                  <c:v>4.8879999999999854E-2</c:v>
                </c:pt>
                <c:pt idx="2">
                  <c:v>4.1429999999999897E-2</c:v>
                </c:pt>
                <c:pt idx="3">
                  <c:v>3.8789999999999922E-2</c:v>
                </c:pt>
              </c:numCache>
            </c:numRef>
          </c:xVal>
          <c:yVal>
            <c:numRef>
              <c:f>QUAG_2!$A$12:$A$16</c:f>
              <c:numCache>
                <c:formatCode>0.000</c:formatCode>
                <c:ptCount val="5"/>
                <c:pt idx="0">
                  <c:v>-3.0019999999999998</c:v>
                </c:pt>
                <c:pt idx="1">
                  <c:v>-3.3359999999999999</c:v>
                </c:pt>
                <c:pt idx="2">
                  <c:v>-3.5870000000000002</c:v>
                </c:pt>
                <c:pt idx="3">
                  <c:v>-3.8479999999999999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B-44D6-B521-0DDEC3FD8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.5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.5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QUAG_2!$G$8:$G$11</c:f>
              <c:numCache>
                <c:formatCode>0.00</c:formatCode>
                <c:ptCount val="4"/>
                <c:pt idx="0">
                  <c:v>1.1374665228497776</c:v>
                </c:pt>
                <c:pt idx="1">
                  <c:v>9.0935299569127892</c:v>
                </c:pt>
                <c:pt idx="2">
                  <c:v>22.640970328531282</c:v>
                </c:pt>
                <c:pt idx="3">
                  <c:v>30.690223378220296</c:v>
                </c:pt>
              </c:numCache>
            </c:numRef>
          </c:xVal>
          <c:yVal>
            <c:numRef>
              <c:f>QUAG_2!$K$8:$K$11</c:f>
              <c:numCache>
                <c:formatCode>0.000</c:formatCode>
                <c:ptCount val="4"/>
                <c:pt idx="0">
                  <c:v>1.8112332900244577</c:v>
                </c:pt>
                <c:pt idx="1">
                  <c:v>1.6116355030226319</c:v>
                </c:pt>
                <c:pt idx="2">
                  <c:v>1.2348256410741254</c:v>
                </c:pt>
                <c:pt idx="3">
                  <c:v>0.44275697092392852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E-49B3-A04D-9B3BDF41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128751"/>
        <c:axId val="1092139983"/>
      </c:scatterChart>
      <c:valAx>
        <c:axId val="109212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39983"/>
        <c:crosses val="autoZero"/>
        <c:crossBetween val="midCat"/>
      </c:valAx>
      <c:valAx>
        <c:axId val="10921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2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74971681702335"/>
          <c:y val="0.1190842510415248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QUAG_3!$G$8:$G$12</c:f>
              <c:numCache>
                <c:formatCode>0.00</c:formatCode>
                <c:ptCount val="5"/>
                <c:pt idx="0">
                  <c:v>4.2545509819495209</c:v>
                </c:pt>
                <c:pt idx="1">
                  <c:v>9.8036668538089771</c:v>
                </c:pt>
                <c:pt idx="2">
                  <c:v>11.607602986213848</c:v>
                </c:pt>
                <c:pt idx="3">
                  <c:v>15.343313244658475</c:v>
                </c:pt>
                <c:pt idx="4">
                  <c:v>19.434129040978092</c:v>
                </c:pt>
              </c:numCache>
            </c:numRef>
          </c:xVal>
          <c:yVal>
            <c:numRef>
              <c:f>QUAG_3!$B$8:$B$12</c:f>
              <c:numCache>
                <c:formatCode>0.0000</c:formatCode>
                <c:ptCount val="5"/>
                <c:pt idx="0">
                  <c:v>1.2547051442910915</c:v>
                </c:pt>
                <c:pt idx="1">
                  <c:v>0.51546391752577325</c:v>
                </c:pt>
                <c:pt idx="2">
                  <c:v>0.40551500405515001</c:v>
                </c:pt>
                <c:pt idx="3">
                  <c:v>0.3427004797806717</c:v>
                </c:pt>
                <c:pt idx="4">
                  <c:v>0.26881720430107525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7B-4931-A592-C94E3C488AD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QUAG_3!$G$12:$G$16</c:f>
              <c:numCache>
                <c:formatCode>0.00</c:formatCode>
                <c:ptCount val="5"/>
                <c:pt idx="0">
                  <c:v>19.434129040978092</c:v>
                </c:pt>
                <c:pt idx="1">
                  <c:v>23.155635077907718</c:v>
                </c:pt>
                <c:pt idx="2">
                  <c:v>26.451014469387445</c:v>
                </c:pt>
                <c:pt idx="3">
                  <c:v>29.438635728042087</c:v>
                </c:pt>
              </c:numCache>
            </c:numRef>
          </c:xVal>
          <c:yVal>
            <c:numRef>
              <c:f>QUAG_3!$B$12:$B$16</c:f>
              <c:numCache>
                <c:formatCode>0.0000</c:formatCode>
                <c:ptCount val="5"/>
                <c:pt idx="0">
                  <c:v>0.26881720430107525</c:v>
                </c:pt>
                <c:pt idx="1">
                  <c:v>0.26730820636193531</c:v>
                </c:pt>
                <c:pt idx="2">
                  <c:v>0.23854961832061067</c:v>
                </c:pt>
                <c:pt idx="3">
                  <c:v>0.18935807612194661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7B-4931-A592-C94E3C488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3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985777138986976E-2"/>
              <c:y val="0.2398765191944991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QUAG_3!$D$8:$D$12</c:f>
              <c:numCache>
                <c:formatCode>0.0000</c:formatCode>
                <c:ptCount val="5"/>
                <c:pt idx="0">
                  <c:v>0.20221899999999995</c:v>
                </c:pt>
                <c:pt idx="1">
                  <c:v>0.190499</c:v>
                </c:pt>
                <c:pt idx="2">
                  <c:v>0.18668899999999991</c:v>
                </c:pt>
                <c:pt idx="3">
                  <c:v>0.17879899999999996</c:v>
                </c:pt>
                <c:pt idx="4">
                  <c:v>0.17015899999999998</c:v>
                </c:pt>
              </c:numCache>
            </c:numRef>
          </c:xVal>
          <c:yVal>
            <c:numRef>
              <c:f>QUAG_3!$A$8:$A$12</c:f>
              <c:numCache>
                <c:formatCode>0.000</c:formatCode>
                <c:ptCount val="5"/>
                <c:pt idx="0">
                  <c:v>-0.79700000000000004</c:v>
                </c:pt>
                <c:pt idx="1">
                  <c:v>-1.94</c:v>
                </c:pt>
                <c:pt idx="2">
                  <c:v>-2.4660000000000002</c:v>
                </c:pt>
                <c:pt idx="3">
                  <c:v>-2.9180000000000001</c:v>
                </c:pt>
                <c:pt idx="4">
                  <c:v>-3.72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73-4BEC-A358-679DE1F302F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QUAG_3!$D$12:$D$16</c:f>
              <c:numCache>
                <c:formatCode>0.0000</c:formatCode>
                <c:ptCount val="5"/>
                <c:pt idx="0">
                  <c:v>0.17015899999999998</c:v>
                </c:pt>
                <c:pt idx="1">
                  <c:v>0.162299</c:v>
                </c:pt>
                <c:pt idx="2">
                  <c:v>0.15533899999999992</c:v>
                </c:pt>
                <c:pt idx="3">
                  <c:v>0.14902900000000011</c:v>
                </c:pt>
              </c:numCache>
            </c:numRef>
          </c:xVal>
          <c:yVal>
            <c:numRef>
              <c:f>QUAG_3!$A$12:$A$16</c:f>
              <c:numCache>
                <c:formatCode>0.000</c:formatCode>
                <c:ptCount val="5"/>
                <c:pt idx="0">
                  <c:v>-3.72</c:v>
                </c:pt>
                <c:pt idx="1">
                  <c:v>-3.7410000000000001</c:v>
                </c:pt>
                <c:pt idx="2">
                  <c:v>-4.1920000000000002</c:v>
                </c:pt>
                <c:pt idx="3">
                  <c:v>-5.2809999999999997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73-4BEC-A358-679DE1F30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0.21000000000000002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.5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.5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QUAG_4!$G$8:$G$12</c:f>
              <c:numCache>
                <c:formatCode>0.00</c:formatCode>
                <c:ptCount val="5"/>
                <c:pt idx="0">
                  <c:v>3.100966411147823</c:v>
                </c:pt>
                <c:pt idx="1">
                  <c:v>7.3994753574312284</c:v>
                </c:pt>
                <c:pt idx="2">
                  <c:v>12.730878443719689</c:v>
                </c:pt>
                <c:pt idx="3">
                  <c:v>18.312680109403189</c:v>
                </c:pt>
                <c:pt idx="4">
                  <c:v>24.390062296806263</c:v>
                </c:pt>
              </c:numCache>
            </c:numRef>
          </c:xVal>
          <c:yVal>
            <c:numRef>
              <c:f>QUAG_4!$B$8:$B$12</c:f>
              <c:numCache>
                <c:formatCode>0.0000</c:formatCode>
                <c:ptCount val="5"/>
                <c:pt idx="0">
                  <c:v>2.808988764044944</c:v>
                </c:pt>
                <c:pt idx="1">
                  <c:v>1.3661202185792349</c:v>
                </c:pt>
                <c:pt idx="2">
                  <c:v>0.72150072150072153</c:v>
                </c:pt>
                <c:pt idx="3">
                  <c:v>0.4710315591144606</c:v>
                </c:pt>
                <c:pt idx="4">
                  <c:v>0.39246467817896391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E-46AF-BFBF-89FFD8A63E1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QUAG_4!$G$12:$G$18</c:f>
              <c:numCache>
                <c:formatCode>0.00</c:formatCode>
                <c:ptCount val="7"/>
                <c:pt idx="0">
                  <c:v>24.390062296806263</c:v>
                </c:pt>
                <c:pt idx="1">
                  <c:v>30.83782571623145</c:v>
                </c:pt>
                <c:pt idx="2">
                  <c:v>38.793197249098164</c:v>
                </c:pt>
                <c:pt idx="3">
                  <c:v>43.373404597201116</c:v>
                </c:pt>
                <c:pt idx="4">
                  <c:v>51.354859315421436</c:v>
                </c:pt>
                <c:pt idx="5">
                  <c:v>61.829866553451907</c:v>
                </c:pt>
              </c:numCache>
            </c:numRef>
          </c:xVal>
          <c:yVal>
            <c:numRef>
              <c:f>QUAG_4!$B$12:$B$18</c:f>
              <c:numCache>
                <c:formatCode>0.0000</c:formatCode>
                <c:ptCount val="7"/>
                <c:pt idx="0">
                  <c:v>0.39246467817896391</c:v>
                </c:pt>
                <c:pt idx="1">
                  <c:v>0.3306878306878307</c:v>
                </c:pt>
                <c:pt idx="2">
                  <c:v>0.30229746070133012</c:v>
                </c:pt>
                <c:pt idx="3">
                  <c:v>0.29895366218236169</c:v>
                </c:pt>
                <c:pt idx="4">
                  <c:v>0.27917364600781686</c:v>
                </c:pt>
                <c:pt idx="5">
                  <c:v>0.25734726439857941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E-46AF-BFBF-89FFD8A63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13228714451930623"/>
              <c:y val="0.239876370593862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QUAG_4!$D$8:$D$10</c:f>
              <c:numCache>
                <c:formatCode>0.0000</c:formatCode>
                <c:ptCount val="3"/>
                <c:pt idx="0">
                  <c:v>0.18575000000000011</c:v>
                </c:pt>
                <c:pt idx="1">
                  <c:v>0.17751000000000008</c:v>
                </c:pt>
                <c:pt idx="2">
                  <c:v>0.16728999999999997</c:v>
                </c:pt>
              </c:numCache>
            </c:numRef>
          </c:xVal>
          <c:yVal>
            <c:numRef>
              <c:f>QUAG_4!$A$8:$A$10</c:f>
              <c:numCache>
                <c:formatCode>0.000</c:formatCode>
                <c:ptCount val="3"/>
                <c:pt idx="0">
                  <c:v>-0.35599999999999998</c:v>
                </c:pt>
                <c:pt idx="1">
                  <c:v>-0.73199999999999998</c:v>
                </c:pt>
                <c:pt idx="2">
                  <c:v>-1.3859999999999999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2-49C2-A236-C17B16837BC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QUAG_4!$D$10:$D$16</c:f>
              <c:numCache>
                <c:formatCode>0.0000</c:formatCode>
                <c:ptCount val="7"/>
                <c:pt idx="0">
                  <c:v>0.16728999999999997</c:v>
                </c:pt>
                <c:pt idx="1">
                  <c:v>0.15659000000000003</c:v>
                </c:pt>
                <c:pt idx="2">
                  <c:v>0.1449400000000001</c:v>
                </c:pt>
                <c:pt idx="3">
                  <c:v>0.13257999999999995</c:v>
                </c:pt>
                <c:pt idx="4">
                  <c:v>0.11732999999999996</c:v>
                </c:pt>
                <c:pt idx="5">
                  <c:v>0.10854999999999995</c:v>
                </c:pt>
                <c:pt idx="6">
                  <c:v>9.3250000000000083E-2</c:v>
                </c:pt>
              </c:numCache>
            </c:numRef>
          </c:xVal>
          <c:yVal>
            <c:numRef>
              <c:f>QUAG_4!$A$10:$A$16</c:f>
              <c:numCache>
                <c:formatCode>0.000</c:formatCode>
                <c:ptCount val="7"/>
                <c:pt idx="0">
                  <c:v>-1.3859999999999999</c:v>
                </c:pt>
                <c:pt idx="1">
                  <c:v>-2.1230000000000002</c:v>
                </c:pt>
                <c:pt idx="2">
                  <c:v>-2.548</c:v>
                </c:pt>
                <c:pt idx="3">
                  <c:v>-3.024</c:v>
                </c:pt>
                <c:pt idx="4">
                  <c:v>-3.3079999999999998</c:v>
                </c:pt>
                <c:pt idx="5">
                  <c:v>-3.3450000000000002</c:v>
                </c:pt>
                <c:pt idx="6">
                  <c:v>-3.5819999999999999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2-49C2-A236-C17B16837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0.2"/>
          <c:min val="5.000000000000001E-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792055609519035"/>
                  <c:y val="-9.05037120250150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QUAG_4!$F$8:$F$11</c:f>
              <c:numCache>
                <c:formatCode>0.00</c:formatCode>
                <c:ptCount val="4"/>
                <c:pt idx="0">
                  <c:v>96.899033588852177</c:v>
                </c:pt>
                <c:pt idx="1">
                  <c:v>92.600524642568772</c:v>
                </c:pt>
                <c:pt idx="2">
                  <c:v>87.269121556280311</c:v>
                </c:pt>
                <c:pt idx="3">
                  <c:v>81.687319890596811</c:v>
                </c:pt>
              </c:numCache>
            </c:numRef>
          </c:xVal>
          <c:yVal>
            <c:numRef>
              <c:f>QUAG_4!$K$8:$K$11</c:f>
              <c:numCache>
                <c:formatCode>0.000</c:formatCode>
                <c:ptCount val="4"/>
                <c:pt idx="0">
                  <c:v>2.2865991140124602</c:v>
                </c:pt>
                <c:pt idx="1">
                  <c:v>1.9737486407532068</c:v>
                </c:pt>
                <c:pt idx="2">
                  <c:v>1.4023936405264805</c:v>
                </c:pt>
                <c:pt idx="3">
                  <c:v>0.75750882493137617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1-4FB7-8939-CBF44A14C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501455"/>
        <c:axId val="1092982559"/>
      </c:scatterChart>
      <c:valAx>
        <c:axId val="108450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82559"/>
        <c:crosses val="autoZero"/>
        <c:crossBetween val="midCat"/>
      </c:valAx>
      <c:valAx>
        <c:axId val="109298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QUAG_5!$G$8:$G$12</c:f>
              <c:numCache>
                <c:formatCode>0.00</c:formatCode>
                <c:ptCount val="5"/>
                <c:pt idx="0">
                  <c:v>3.7215533488415815</c:v>
                </c:pt>
                <c:pt idx="1">
                  <c:v>10.452113404158183</c:v>
                </c:pt>
                <c:pt idx="2">
                  <c:v>18.604522133580886</c:v>
                </c:pt>
                <c:pt idx="3">
                  <c:v>25.928114550459426</c:v>
                </c:pt>
                <c:pt idx="4">
                  <c:v>33.909044042803998</c:v>
                </c:pt>
              </c:numCache>
            </c:numRef>
          </c:xVal>
          <c:yVal>
            <c:numRef>
              <c:f>QUAG_5!$B$8:$B$12</c:f>
              <c:numCache>
                <c:formatCode>0.0000</c:formatCode>
                <c:ptCount val="5"/>
                <c:pt idx="0">
                  <c:v>1.9157088122605364</c:v>
                </c:pt>
                <c:pt idx="1">
                  <c:v>0.77220077220077221</c:v>
                </c:pt>
                <c:pt idx="2">
                  <c:v>0.41580041580041582</c:v>
                </c:pt>
                <c:pt idx="3">
                  <c:v>0.29673590504451036</c:v>
                </c:pt>
                <c:pt idx="4">
                  <c:v>0.23419203747072601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A-4C91-970D-1EF3F77786E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QUAG_5!$G$12:$G$14</c:f>
              <c:numCache>
                <c:formatCode>0.00</c:formatCode>
                <c:ptCount val="3"/>
                <c:pt idx="0">
                  <c:v>33.909044042803998</c:v>
                </c:pt>
                <c:pt idx="1">
                  <c:v>44.95516489792022</c:v>
                </c:pt>
                <c:pt idx="2">
                  <c:v>57.994731884069608</c:v>
                </c:pt>
              </c:numCache>
            </c:numRef>
          </c:xVal>
          <c:yVal>
            <c:numRef>
              <c:f>QUAG_5!$B$12:$B$14</c:f>
              <c:numCache>
                <c:formatCode>0.0000</c:formatCode>
                <c:ptCount val="3"/>
                <c:pt idx="0">
                  <c:v>0.23419203747072601</c:v>
                </c:pt>
                <c:pt idx="1">
                  <c:v>0.18684603886397608</c:v>
                </c:pt>
                <c:pt idx="2">
                  <c:v>0.14343086632243257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EA-4C91-970D-1EF3F7778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13228714451930623"/>
              <c:y val="0.239876370593862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QUAG_5!$D$8:$D$11</c:f>
              <c:numCache>
                <c:formatCode>0.0000</c:formatCode>
                <c:ptCount val="4"/>
                <c:pt idx="0">
                  <c:v>0.13474999999999998</c:v>
                </c:pt>
                <c:pt idx="1">
                  <c:v>0.12533</c:v>
                </c:pt>
                <c:pt idx="2">
                  <c:v>0.11392000000000008</c:v>
                </c:pt>
                <c:pt idx="3">
                  <c:v>0.10366999999999998</c:v>
                </c:pt>
              </c:numCache>
            </c:numRef>
          </c:xVal>
          <c:yVal>
            <c:numRef>
              <c:f>QUAG_5!$A$8:$A$11</c:f>
              <c:numCache>
                <c:formatCode>0.000</c:formatCode>
                <c:ptCount val="4"/>
                <c:pt idx="0">
                  <c:v>-0.52200000000000002</c:v>
                </c:pt>
                <c:pt idx="1">
                  <c:v>-1.2949999999999999</c:v>
                </c:pt>
                <c:pt idx="2">
                  <c:v>-2.4049999999999998</c:v>
                </c:pt>
                <c:pt idx="3">
                  <c:v>-3.37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6-4A7C-A598-CAFAD9C5DD0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QUAG_5!$D$11:$D$14</c:f>
              <c:numCache>
                <c:formatCode>0.0000</c:formatCode>
                <c:ptCount val="4"/>
                <c:pt idx="0">
                  <c:v>0.10366999999999998</c:v>
                </c:pt>
                <c:pt idx="1">
                  <c:v>9.2500000000000082E-2</c:v>
                </c:pt>
                <c:pt idx="2">
                  <c:v>7.7040000000000053E-2</c:v>
                </c:pt>
                <c:pt idx="3">
                  <c:v>5.8790000000000175E-2</c:v>
                </c:pt>
              </c:numCache>
            </c:numRef>
          </c:xVal>
          <c:yVal>
            <c:numRef>
              <c:f>QUAG_5!$A$11:$A$14</c:f>
              <c:numCache>
                <c:formatCode>0.000</c:formatCode>
                <c:ptCount val="4"/>
                <c:pt idx="0">
                  <c:v>-3.37</c:v>
                </c:pt>
                <c:pt idx="1">
                  <c:v>-4.2699999999999996</c:v>
                </c:pt>
                <c:pt idx="2">
                  <c:v>-5.3520000000000003</c:v>
                </c:pt>
                <c:pt idx="3">
                  <c:v>-6.9720000000000004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E6-4A7C-A598-CAFAD9C5D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0.15000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22580296019701"/>
          <c:y val="0.13651498335183129"/>
          <c:w val="0.79876851476039723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QUAG_6!$G$8:$G$12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QUAG_6!$B$8:$B$12</c:f>
              <c:numCache>
                <c:formatCode>0.0000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19-4C00-8ED6-669038D4B4A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QUAG_6!$G$12:$G$13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QUAG_6!$B$12:$B$13</c:f>
              <c:numCache>
                <c:formatCode>0.0000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19-4C00-8ED6-669038D4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1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6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3.2838163270828262E-4"/>
              <c:y val="0.2893608247422680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QUAG_6!$D$8:$D$12</c:f>
              <c:numCache>
                <c:formatCode>0.0000</c:formatCode>
                <c:ptCount val="5"/>
                <c:pt idx="0">
                  <c:v>-5.6946300000000001</c:v>
                </c:pt>
                <c:pt idx="1">
                  <c:v>-5.6946300000000001</c:v>
                </c:pt>
                <c:pt idx="2">
                  <c:v>-5.6946300000000001</c:v>
                </c:pt>
                <c:pt idx="3">
                  <c:v>-5.6946300000000001</c:v>
                </c:pt>
                <c:pt idx="4">
                  <c:v>-5.6946300000000001</c:v>
                </c:pt>
              </c:numCache>
            </c:numRef>
          </c:xVal>
          <c:yVal>
            <c:numRef>
              <c:f>QUAG_6!$A$8:$A$12</c:f>
              <c:numCache>
                <c:formatCode>0.000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A-4452-B379-D13EAD3EA37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QUAG_6!$D$12:$D$13</c:f>
              <c:numCache>
                <c:formatCode>0.0000</c:formatCode>
                <c:ptCount val="2"/>
                <c:pt idx="0">
                  <c:v>-5.6946300000000001</c:v>
                </c:pt>
                <c:pt idx="1">
                  <c:v>-5.6946300000000001</c:v>
                </c:pt>
              </c:numCache>
            </c:numRef>
          </c:xVal>
          <c:yVal>
            <c:numRef>
              <c:f>QUAG_6!$A$12:$A$13</c:f>
              <c:numCache>
                <c:formatCode>0.000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7A-4452-B379-D13EAD3EA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1.6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1.6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1.1389107611548556E-2"/>
                  <c:y val="-0.264702537182852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summary!$C$2:$C$6</c:f>
              <c:numCache>
                <c:formatCode>General</c:formatCode>
                <c:ptCount val="5"/>
                <c:pt idx="0">
                  <c:v>-2.0291350590498949</c:v>
                </c:pt>
                <c:pt idx="1">
                  <c:v>-2.0923488162039656</c:v>
                </c:pt>
                <c:pt idx="2">
                  <c:v>-2.2055312898654065</c:v>
                </c:pt>
                <c:pt idx="3">
                  <c:v>-2.5988426852070372</c:v>
                </c:pt>
                <c:pt idx="4">
                  <c:v>-2.4543051229336563</c:v>
                </c:pt>
              </c:numCache>
            </c:numRef>
          </c:xVal>
          <c:yVal>
            <c:numRef>
              <c:f>summary!$Q$2:$Q$6</c:f>
              <c:numCache>
                <c:formatCode>General</c:formatCode>
                <c:ptCount val="5"/>
                <c:pt idx="0">
                  <c:v>-2.0291350590498949</c:v>
                </c:pt>
                <c:pt idx="1">
                  <c:v>-2.0923488162039656</c:v>
                </c:pt>
                <c:pt idx="2">
                  <c:v>-2.2055312898654065</c:v>
                </c:pt>
                <c:pt idx="3">
                  <c:v>-2.5988426852070372</c:v>
                </c:pt>
                <c:pt idx="4">
                  <c:v>-2.4543051229336563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E-4373-8131-785BFB008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507279"/>
        <c:axId val="1084506447"/>
      </c:scatterChart>
      <c:valAx>
        <c:axId val="10845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6447"/>
        <c:crosses val="autoZero"/>
        <c:crossBetween val="midCat"/>
      </c:valAx>
      <c:valAx>
        <c:axId val="10845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summary!$F$2:$F$6</c:f>
              <c:numCache>
                <c:formatCode>General</c:formatCode>
                <c:ptCount val="5"/>
                <c:pt idx="0">
                  <c:v>70.776892607934158</c:v>
                </c:pt>
                <c:pt idx="1">
                  <c:v>62.483637277180918</c:v>
                </c:pt>
                <c:pt idx="2">
                  <c:v>84.656686755341525</c:v>
                </c:pt>
                <c:pt idx="3">
                  <c:v>75.609937703193737</c:v>
                </c:pt>
                <c:pt idx="4">
                  <c:v>74.071885449540574</c:v>
                </c:pt>
              </c:numCache>
            </c:numRef>
          </c:xVal>
          <c:yVal>
            <c:numRef>
              <c:f>summary!$R$2:$R$6</c:f>
              <c:numCache>
                <c:formatCode>General</c:formatCode>
                <c:ptCount val="5"/>
                <c:pt idx="0">
                  <c:v>75.950675756694906</c:v>
                </c:pt>
                <c:pt idx="1">
                  <c:v>54.538844485554485</c:v>
                </c:pt>
                <c:pt idx="2">
                  <c:v>85.878197198208625</c:v>
                </c:pt>
                <c:pt idx="3">
                  <c:v>73.838702898533015</c:v>
                </c:pt>
                <c:pt idx="4">
                  <c:v>72.649175357052727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C-4F29-BB4A-CABC3E5DB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204079"/>
        <c:axId val="982221135"/>
      </c:scatterChart>
      <c:valAx>
        <c:axId val="98220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21135"/>
        <c:crosses val="autoZero"/>
        <c:crossBetween val="midCat"/>
      </c:valAx>
      <c:valAx>
        <c:axId val="98222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0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04111986001749E-2"/>
          <c:y val="0.18560185185185185"/>
          <c:w val="0.922395888013998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summary!$D$2:$D$6</c:f>
              <c:numCache>
                <c:formatCode>General</c:formatCode>
                <c:ptCount val="5"/>
                <c:pt idx="0">
                  <c:v>-2.6944509347004142</c:v>
                </c:pt>
                <c:pt idx="1">
                  <c:v>-3.0345656531335732</c:v>
                </c:pt>
                <c:pt idx="2">
                  <c:v>-3.1148995002397379</c:v>
                </c:pt>
                <c:pt idx="3">
                  <c:v>-2.9879812780298152</c:v>
                </c:pt>
                <c:pt idx="4">
                  <c:v>-3.508401961228484</c:v>
                </c:pt>
              </c:numCache>
            </c:numRef>
          </c:xVal>
          <c:yVal>
            <c:numRef>
              <c:f>summary!$S$2:$S$6</c:f>
              <c:numCache>
                <c:formatCode>General</c:formatCode>
                <c:ptCount val="5"/>
                <c:pt idx="0">
                  <c:v>-2.5466207777195269</c:v>
                </c:pt>
                <c:pt idx="1">
                  <c:v>-3.3544556633172951</c:v>
                </c:pt>
                <c:pt idx="2">
                  <c:v>-3.0159025354265463</c:v>
                </c:pt>
                <c:pt idx="3">
                  <c:v>-3.0208296443461777</c:v>
                </c:pt>
                <c:pt idx="4">
                  <c:v>-3.5930787077557396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7-4D08-877A-7CB2A1795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76079"/>
        <c:axId val="1084484815"/>
      </c:scatterChart>
      <c:valAx>
        <c:axId val="10844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84815"/>
        <c:crosses val="autoZero"/>
        <c:crossBetween val="midCat"/>
      </c:valAx>
      <c:valAx>
        <c:axId val="108448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7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summary!$H$2:$H$6</c:f>
              <c:numCache>
                <c:formatCode>General</c:formatCode>
                <c:ptCount val="5"/>
                <c:pt idx="0">
                  <c:v>8.4368937702080515</c:v>
                </c:pt>
                <c:pt idx="1">
                  <c:v>5.0810744113230948</c:v>
                </c:pt>
                <c:pt idx="2">
                  <c:v>13.591965292068179</c:v>
                </c:pt>
                <c:pt idx="3">
                  <c:v>9.2279745031440505</c:v>
                </c:pt>
                <c:pt idx="4">
                  <c:v>8.6894007297740963</c:v>
                </c:pt>
              </c:numCache>
            </c:numRef>
          </c:xVal>
          <c:yVal>
            <c:numRef>
              <c:f>summary!$T$2:$T$6</c:f>
              <c:numCache>
                <c:formatCode>General</c:formatCode>
                <c:ptCount val="5"/>
                <c:pt idx="0">
                  <c:v>8.4373890863680732</c:v>
                </c:pt>
                <c:pt idx="1">
                  <c:v>4.602498094310671</c:v>
                </c:pt>
                <c:pt idx="2">
                  <c:v>15.617915933407815</c:v>
                </c:pt>
                <c:pt idx="3">
                  <c:v>9.9339213767856638</c:v>
                </c:pt>
                <c:pt idx="4">
                  <c:v>8.9734227577175716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8-43D7-90A8-0509B2959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95631"/>
        <c:axId val="1084473583"/>
      </c:scatterChart>
      <c:valAx>
        <c:axId val="108449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73583"/>
        <c:crosses val="autoZero"/>
        <c:crossBetween val="midCat"/>
      </c:valAx>
      <c:valAx>
        <c:axId val="10844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9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498605</xdr:colOff>
      <xdr:row>24</xdr:row>
      <xdr:rowOff>121104</xdr:rowOff>
    </xdr:from>
    <xdr:to>
      <xdr:col>6</xdr:col>
      <xdr:colOff>608044</xdr:colOff>
      <xdr:row>40</xdr:row>
      <xdr:rowOff>149679</xdr:rowOff>
    </xdr:to>
    <xdr:graphicFrame macro="">
      <xdr:nvGraphicFramePr>
        <xdr:cNvPr id="1069" name="1 Gráfico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24</xdr:row>
      <xdr:rowOff>114300</xdr:rowOff>
    </xdr:from>
    <xdr:to>
      <xdr:col>5</xdr:col>
      <xdr:colOff>304800</xdr:colOff>
      <xdr:row>40</xdr:row>
      <xdr:rowOff>161925</xdr:rowOff>
    </xdr:to>
    <xdr:graphicFrame macro="">
      <xdr:nvGraphicFramePr>
        <xdr:cNvPr id="1070" name="Chart 2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1003041</xdr:colOff>
      <xdr:row>11</xdr:row>
      <xdr:rowOff>164064</xdr:rowOff>
    </xdr:from>
    <xdr:to>
      <xdr:col>17</xdr:col>
      <xdr:colOff>458755</xdr:colOff>
      <xdr:row>25</xdr:row>
      <xdr:rowOff>123631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FA45A-1F3E-4E34-9896-33B03A697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505406</xdr:colOff>
      <xdr:row>24</xdr:row>
      <xdr:rowOff>148512</xdr:rowOff>
    </xdr:from>
    <xdr:to>
      <xdr:col>14</xdr:col>
      <xdr:colOff>2542590</xdr:colOff>
      <xdr:row>39</xdr:row>
      <xdr:rowOff>92529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2CE597-313D-4ADA-8F85-DACA278C5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495687</xdr:colOff>
      <xdr:row>37</xdr:row>
      <xdr:rowOff>3693</xdr:rowOff>
    </xdr:from>
    <xdr:to>
      <xdr:col>14</xdr:col>
      <xdr:colOff>1500672</xdr:colOff>
      <xdr:row>51</xdr:row>
      <xdr:rowOff>25464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B1E517-1801-697B-62D7-168ABF36D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477370</xdr:colOff>
      <xdr:row>21</xdr:row>
      <xdr:rowOff>143435</xdr:rowOff>
    </xdr:from>
    <xdr:to>
      <xdr:col>14</xdr:col>
      <xdr:colOff>2679887</xdr:colOff>
      <xdr:row>37</xdr:row>
      <xdr:rowOff>144555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161925</xdr:rowOff>
    </xdr:from>
    <xdr:to>
      <xdr:col>5</xdr:col>
      <xdr:colOff>200025</xdr:colOff>
      <xdr:row>40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259975</xdr:colOff>
      <xdr:row>21</xdr:row>
      <xdr:rowOff>170329</xdr:rowOff>
    </xdr:from>
    <xdr:to>
      <xdr:col>8</xdr:col>
      <xdr:colOff>564775</xdr:colOff>
      <xdr:row>37</xdr:row>
      <xdr:rowOff>15688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098648-58FE-4CF6-8198-EA2ADABB7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602672</xdr:colOff>
      <xdr:row>29</xdr:row>
      <xdr:rowOff>95250</xdr:rowOff>
    </xdr:from>
    <xdr:to>
      <xdr:col>14</xdr:col>
      <xdr:colOff>2813339</xdr:colOff>
      <xdr:row>45</xdr:row>
      <xdr:rowOff>114300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29</xdr:row>
      <xdr:rowOff>171450</xdr:rowOff>
    </xdr:from>
    <xdr:to>
      <xdr:col>5</xdr:col>
      <xdr:colOff>219075</xdr:colOff>
      <xdr:row>46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79663</xdr:colOff>
      <xdr:row>42</xdr:row>
      <xdr:rowOff>50223</xdr:rowOff>
    </xdr:from>
    <xdr:to>
      <xdr:col>14</xdr:col>
      <xdr:colOff>2546639</xdr:colOff>
      <xdr:row>58</xdr:row>
      <xdr:rowOff>88322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25</xdr:row>
      <xdr:rowOff>158750</xdr:rowOff>
    </xdr:from>
    <xdr:to>
      <xdr:col>5</xdr:col>
      <xdr:colOff>504825</xdr:colOff>
      <xdr:row>42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145472</xdr:colOff>
      <xdr:row>19</xdr:row>
      <xdr:rowOff>166254</xdr:rowOff>
    </xdr:from>
    <xdr:to>
      <xdr:col>27</xdr:col>
      <xdr:colOff>332508</xdr:colOff>
      <xdr:row>54</xdr:row>
      <xdr:rowOff>138545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BF4AC4-2CBA-45BE-87CA-56CE91504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437146</xdr:colOff>
      <xdr:row>31</xdr:row>
      <xdr:rowOff>162927</xdr:rowOff>
    </xdr:from>
    <xdr:to>
      <xdr:col>8</xdr:col>
      <xdr:colOff>421606</xdr:colOff>
      <xdr:row>47</xdr:row>
      <xdr:rowOff>181977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31</xdr:row>
      <xdr:rowOff>47625</xdr:rowOff>
    </xdr:from>
    <xdr:to>
      <xdr:col>5</xdr:col>
      <xdr:colOff>381000</xdr:colOff>
      <xdr:row>47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</xdr:colOff>
      <xdr:row>31</xdr:row>
      <xdr:rowOff>40640</xdr:rowOff>
    </xdr:from>
    <xdr:to>
      <xdr:col>7</xdr:col>
      <xdr:colOff>277495</xdr:colOff>
      <xdr:row>47</xdr:row>
      <xdr:rowOff>72390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98425</xdr:rowOff>
    </xdr:from>
    <xdr:to>
      <xdr:col>5</xdr:col>
      <xdr:colOff>219075</xdr:colOff>
      <xdr:row>41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</xdr:row>
      <xdr:rowOff>49530</xdr:rowOff>
    </xdr:from>
    <xdr:to>
      <xdr:col>15</xdr:col>
      <xdr:colOff>228600</xdr:colOff>
      <xdr:row>24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9BD1E-C90D-42A7-8747-7D2CD60BB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23</xdr:row>
      <xdr:rowOff>125730</xdr:rowOff>
    </xdr:from>
    <xdr:to>
      <xdr:col>15</xdr:col>
      <xdr:colOff>251460</xdr:colOff>
      <xdr:row>38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C6DAB3-8D13-47F6-B508-448964714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91440</xdr:colOff>
      <xdr:row>9</xdr:row>
      <xdr:rowOff>148590</xdr:rowOff>
    </xdr:from>
    <xdr:to>
      <xdr:col>22</xdr:col>
      <xdr:colOff>396240</xdr:colOff>
      <xdr:row>24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A451F8-FA83-47EA-A0E8-BD09D39C2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129540</xdr:colOff>
      <xdr:row>25</xdr:row>
      <xdr:rowOff>80010</xdr:rowOff>
    </xdr:from>
    <xdr:to>
      <xdr:col>22</xdr:col>
      <xdr:colOff>434340</xdr:colOff>
      <xdr:row>40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3B550D-6F16-448E-AECD-A31A7B267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220C-07B9-4453-9970-3FC4514350F7}">
  <dimension ref="A1:B7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118.5" bestFit="1" customWidth="1"/>
  </cols>
  <sheetData>
    <row r="1" spans="1:2" x14ac:dyDescent="0.2">
      <c r="A1" t="s">
        <v>106</v>
      </c>
    </row>
    <row r="3" spans="1:2" x14ac:dyDescent="0.2">
      <c r="A3" t="s">
        <v>109</v>
      </c>
      <c r="B3" t="s">
        <v>118</v>
      </c>
    </row>
    <row r="4" spans="1:2" x14ac:dyDescent="0.2">
      <c r="A4" t="s">
        <v>110</v>
      </c>
    </row>
    <row r="5" spans="1:2" x14ac:dyDescent="0.2">
      <c r="A5" t="s">
        <v>114</v>
      </c>
      <c r="B5" t="s">
        <v>119</v>
      </c>
    </row>
    <row r="6" spans="1:2" x14ac:dyDescent="0.2">
      <c r="A6" t="s">
        <v>115</v>
      </c>
    </row>
    <row r="7" spans="1:2" x14ac:dyDescent="0.2">
      <c r="A7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zoomScale="98" zoomScaleNormal="98" workbookViewId="0">
      <selection activeCell="F20" sqref="F20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5.5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1.3028</v>
      </c>
      <c r="C3" s="3"/>
      <c r="D3" t="s">
        <v>35</v>
      </c>
      <c r="E3" s="40"/>
    </row>
    <row r="4" spans="1:22" x14ac:dyDescent="0.2">
      <c r="A4" s="3" t="s">
        <v>46</v>
      </c>
      <c r="B4" s="40">
        <v>0.20097999999999999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B23/B4</f>
        <v>1.010563295003186</v>
      </c>
      <c r="O7" t="s">
        <v>7</v>
      </c>
      <c r="Q7" s="3"/>
    </row>
    <row r="8" spans="1:22" ht="16" thickBot="1" x14ac:dyDescent="0.25">
      <c r="A8" s="37">
        <v>-0.65200000000000002</v>
      </c>
      <c r="B8" s="6">
        <f t="shared" ref="B8:B16" si="0">-1/A8</f>
        <v>1.5337423312883436</v>
      </c>
      <c r="C8" s="84">
        <v>1.69065</v>
      </c>
      <c r="D8" s="7">
        <f>C8-$B$3-$B$4</f>
        <v>0.18687000000000004</v>
      </c>
      <c r="E8" s="6">
        <f>(D8/$B$23)</f>
        <v>0.92007498585354164</v>
      </c>
      <c r="F8" s="9">
        <f t="shared" ref="F8" si="1">100*E8</f>
        <v>92.00749858535417</v>
      </c>
      <c r="G8" s="9">
        <f t="shared" ref="G8" si="2">100-F8</f>
        <v>7.9925014146458295</v>
      </c>
      <c r="H8" s="6">
        <f>(E8-N$10/100)/(1-N$10/100)</f>
        <v>0.93246732778142483</v>
      </c>
      <c r="I8" s="9">
        <f>H8*100</f>
        <v>93.246732778142487</v>
      </c>
      <c r="J8" s="10">
        <f>-1/($K$23+$K$22*G8)</f>
        <v>-2.1760923933685907</v>
      </c>
      <c r="K8" s="10">
        <f>A8-J8</f>
        <v>1.5240923933685906</v>
      </c>
      <c r="M8" s="62" t="s">
        <v>52</v>
      </c>
      <c r="N8" s="66">
        <f>-1/K23</f>
        <v>-2.0291350590498949</v>
      </c>
      <c r="O8" t="s">
        <v>8</v>
      </c>
      <c r="Q8" s="3"/>
    </row>
    <row r="9" spans="1:22" x14ac:dyDescent="0.2">
      <c r="A9" s="82">
        <v>-1.095</v>
      </c>
      <c r="B9" s="6">
        <f t="shared" si="0"/>
        <v>0.91324200913242015</v>
      </c>
      <c r="C9" s="38">
        <v>1.6804699999999999</v>
      </c>
      <c r="D9" s="7">
        <f>C9-$B$3-$B$4</f>
        <v>0.17668999999999996</v>
      </c>
      <c r="E9" s="6">
        <f>(D9/$B$23)</f>
        <v>0.86995263686232249</v>
      </c>
      <c r="F9" s="9">
        <f t="shared" ref="F9:F10" si="3">100*E9</f>
        <v>86.995263686232249</v>
      </c>
      <c r="G9" s="9">
        <f t="shared" ref="G9:G10" si="4">100-F9</f>
        <v>13.004736313767751</v>
      </c>
      <c r="H9" s="6">
        <f>(E9-N$10/100)/(1-N$10/100)</f>
        <v>0.890116429237367</v>
      </c>
      <c r="I9" s="9">
        <f>H9*100</f>
        <v>89.011642923736702</v>
      </c>
      <c r="J9" s="10">
        <f>-1/($K$23+$K$22*G9)</f>
        <v>-2.2796288130401265</v>
      </c>
      <c r="K9" s="10">
        <f t="shared" ref="K9:K10" si="5">A9-J9</f>
        <v>1.1846288130401266</v>
      </c>
      <c r="M9" s="67" t="s">
        <v>47</v>
      </c>
      <c r="N9" s="68">
        <f>J12</f>
        <v>-2.6944509347004142</v>
      </c>
      <c r="O9" t="s">
        <v>67</v>
      </c>
      <c r="Q9" s="3"/>
    </row>
    <row r="10" spans="1:22" x14ac:dyDescent="0.2">
      <c r="A10" s="82">
        <v>-1.9650000000000001</v>
      </c>
      <c r="B10" s="6">
        <f t="shared" si="0"/>
        <v>0.5089058524173028</v>
      </c>
      <c r="C10" s="38">
        <v>1.67065</v>
      </c>
      <c r="D10" s="7">
        <f t="shared" ref="D10" si="6">C10-$B$3-$B$4</f>
        <v>0.16687000000000002</v>
      </c>
      <c r="E10" s="6">
        <f t="shared" ref="E10" si="7">(D10/$B$23)</f>
        <v>0.8216027874425027</v>
      </c>
      <c r="F10" s="9">
        <f t="shared" si="3"/>
        <v>82.160278744250263</v>
      </c>
      <c r="G10" s="9">
        <f t="shared" si="4"/>
        <v>17.839721255749737</v>
      </c>
      <c r="H10" s="6">
        <f t="shared" ref="H10" si="8">(E10-N$10/100)/(1-N$10/100)</f>
        <v>0.849263204905084</v>
      </c>
      <c r="I10" s="9">
        <f t="shared" ref="I10" si="9">H10*100</f>
        <v>84.926320490508402</v>
      </c>
      <c r="J10" s="10">
        <f t="shared" ref="J10" si="10">-1/($K$23+$K$22*G10)</f>
        <v>-2.3892887944870718</v>
      </c>
      <c r="K10" s="10">
        <f t="shared" si="5"/>
        <v>0.42428879448707169</v>
      </c>
      <c r="M10" s="62" t="s">
        <v>82</v>
      </c>
      <c r="N10" s="63">
        <f>100+(K23/K22)</f>
        <v>-18.350143006001986</v>
      </c>
      <c r="O10" t="s">
        <v>8</v>
      </c>
      <c r="Q10" s="3"/>
    </row>
    <row r="11" spans="1:22" ht="16.5" customHeight="1" thickBot="1" x14ac:dyDescent="0.25">
      <c r="A11" s="95">
        <v>-2.6509999999999998</v>
      </c>
      <c r="B11" s="25">
        <f>-1/A11</f>
        <v>0.37721614485099964</v>
      </c>
      <c r="C11" s="85">
        <v>1.6553199999999999</v>
      </c>
      <c r="D11" s="26">
        <f t="shared" ref="D11:D16" si="11">C11-$B$3-$B$4</f>
        <v>0.15153999999999995</v>
      </c>
      <c r="E11" s="27">
        <f t="shared" ref="E11:E16" si="12">(D11/$B$23)</f>
        <v>0.74612384736044113</v>
      </c>
      <c r="F11" s="28">
        <f t="shared" ref="F11:F16" si="13">100*E11</f>
        <v>74.612384736044106</v>
      </c>
      <c r="G11" s="28">
        <f t="shared" ref="G11:G16" si="14">100-F11</f>
        <v>25.387615263955894</v>
      </c>
      <c r="H11" s="27">
        <f t="shared" ref="H11:H16" si="15">(E11-N$10/100)/(1-N$10/100)</f>
        <v>0.78548724472036868</v>
      </c>
      <c r="I11" s="28">
        <f t="shared" ref="I11:I16" si="16">H11*100</f>
        <v>78.548724472036866</v>
      </c>
      <c r="J11" s="29">
        <f t="shared" ref="J11:J16" si="17">-1/($K$23+$K$22*G11)</f>
        <v>-2.5832819981338613</v>
      </c>
      <c r="K11" s="29">
        <f t="shared" ref="K11:K16" si="18">A11-J11</f>
        <v>-6.7718001866138522E-2</v>
      </c>
      <c r="M11" s="81" t="s">
        <v>84</v>
      </c>
      <c r="N11" s="69">
        <f>F12</f>
        <v>70.776892607934158</v>
      </c>
      <c r="O11" t="s">
        <v>57</v>
      </c>
      <c r="Q11" s="6"/>
    </row>
    <row r="12" spans="1:22" x14ac:dyDescent="0.2">
      <c r="A12" s="96">
        <v>-2.7919999999999998</v>
      </c>
      <c r="B12" s="97">
        <f>-1/A12</f>
        <v>0.35816618911174786</v>
      </c>
      <c r="C12" s="98">
        <v>1.6475299999999999</v>
      </c>
      <c r="D12" s="7">
        <f t="shared" si="11"/>
        <v>0.14374999999999999</v>
      </c>
      <c r="E12" s="6">
        <f t="shared" si="12"/>
        <v>0.70776892607934161</v>
      </c>
      <c r="F12" s="9">
        <f t="shared" si="13"/>
        <v>70.776892607934158</v>
      </c>
      <c r="G12" s="9">
        <f t="shared" si="14"/>
        <v>29.223107392065842</v>
      </c>
      <c r="H12" s="6">
        <f t="shared" si="15"/>
        <v>0.75307923886003403</v>
      </c>
      <c r="I12" s="9">
        <f t="shared" si="16"/>
        <v>75.307923886003408</v>
      </c>
      <c r="J12" s="10">
        <f t="shared" si="17"/>
        <v>-2.6944509347004142</v>
      </c>
      <c r="K12" s="10">
        <f t="shared" si="18"/>
        <v>-9.7549065299585624E-2</v>
      </c>
      <c r="M12" s="70" t="s">
        <v>85</v>
      </c>
      <c r="N12" s="71">
        <f>I12</f>
        <v>75.307923886003408</v>
      </c>
      <c r="O12" t="s">
        <v>66</v>
      </c>
      <c r="Q12" s="3"/>
    </row>
    <row r="13" spans="1:22" ht="16" x14ac:dyDescent="0.2">
      <c r="A13" s="82">
        <v>-2.8580000000000001</v>
      </c>
      <c r="B13" s="6">
        <f t="shared" si="0"/>
        <v>0.34989503149055284</v>
      </c>
      <c r="C13" s="84">
        <v>1.6378999999999999</v>
      </c>
      <c r="D13" s="7">
        <f t="shared" si="11"/>
        <v>0.13411999999999996</v>
      </c>
      <c r="E13" s="6">
        <f t="shared" si="12"/>
        <v>0.66035456254442626</v>
      </c>
      <c r="F13" s="9">
        <f t="shared" si="13"/>
        <v>66.035456254442622</v>
      </c>
      <c r="G13" s="9">
        <f t="shared" si="14"/>
        <v>33.964543745557378</v>
      </c>
      <c r="H13" s="6">
        <f t="shared" si="15"/>
        <v>0.71301645369507582</v>
      </c>
      <c r="I13" s="9">
        <f t="shared" si="16"/>
        <v>71.301645369507582</v>
      </c>
      <c r="J13" s="10">
        <f t="shared" si="17"/>
        <v>-2.8458460510052443</v>
      </c>
      <c r="K13" s="10">
        <f t="shared" si="18"/>
        <v>-1.2153948994755748E-2</v>
      </c>
      <c r="L13" s="3"/>
      <c r="M13" s="87" t="s">
        <v>83</v>
      </c>
      <c r="N13" s="73">
        <f>STDEV(K8:K12)/STDEV(E8:E12)</f>
        <v>8.4368937702080515</v>
      </c>
      <c r="O13" t="s">
        <v>58</v>
      </c>
      <c r="Q13" s="3"/>
    </row>
    <row r="14" spans="1:22" ht="18" x14ac:dyDescent="0.2">
      <c r="A14" s="99">
        <v>-3.2970000000000002</v>
      </c>
      <c r="B14" s="86">
        <f t="shared" si="0"/>
        <v>0.30330603579011223</v>
      </c>
      <c r="C14" s="38">
        <v>1.6173500000000001</v>
      </c>
      <c r="D14" s="7">
        <f t="shared" si="11"/>
        <v>0.11357000000000012</v>
      </c>
      <c r="E14" s="6">
        <f t="shared" si="12"/>
        <v>0.55917437867708464</v>
      </c>
      <c r="F14" s="9">
        <f t="shared" si="13"/>
        <v>55.917437867708465</v>
      </c>
      <c r="G14" s="9">
        <f t="shared" si="14"/>
        <v>44.082562132291535</v>
      </c>
      <c r="H14" s="6">
        <f t="shared" si="15"/>
        <v>0.62752421743963638</v>
      </c>
      <c r="I14" s="9">
        <f t="shared" si="16"/>
        <v>62.752421743963637</v>
      </c>
      <c r="J14" s="10">
        <f t="shared" si="17"/>
        <v>-3.2335565746434067</v>
      </c>
      <c r="K14" s="10">
        <f t="shared" si="18"/>
        <v>-6.3443425356593419E-2</v>
      </c>
      <c r="L14" s="3"/>
      <c r="M14" s="88" t="s">
        <v>1</v>
      </c>
      <c r="N14" s="75">
        <f>STDEV(K8:K12)/STDEV(H8:H12)</f>
        <v>9.9850758423057062</v>
      </c>
      <c r="O14" t="s">
        <v>65</v>
      </c>
    </row>
    <row r="15" spans="1:22" ht="16" x14ac:dyDescent="0.2">
      <c r="A15" s="82">
        <v>-3.3079999999999998</v>
      </c>
      <c r="B15" s="23">
        <f t="shared" si="0"/>
        <v>0.30229746070133012</v>
      </c>
      <c r="C15" s="83">
        <v>1.6086100000000001</v>
      </c>
      <c r="D15" s="7">
        <f t="shared" si="11"/>
        <v>0.10483000000000015</v>
      </c>
      <c r="E15" s="6">
        <f t="shared" si="12"/>
        <v>0.5161420279714608</v>
      </c>
      <c r="F15" s="9">
        <f t="shared" si="13"/>
        <v>51.614202797146078</v>
      </c>
      <c r="G15" s="9">
        <f t="shared" si="14"/>
        <v>48.385797202853922</v>
      </c>
      <c r="H15" s="6">
        <f t="shared" si="15"/>
        <v>0.59116401574267563</v>
      </c>
      <c r="I15" s="9">
        <f t="shared" si="16"/>
        <v>59.116401574267563</v>
      </c>
      <c r="J15" s="10">
        <f t="shared" si="17"/>
        <v>-3.4324400758742146</v>
      </c>
      <c r="K15" s="10">
        <f t="shared" si="18"/>
        <v>0.12444007587421479</v>
      </c>
      <c r="M15" s="76" t="s">
        <v>86</v>
      </c>
      <c r="N15" s="77">
        <f>STDEV(E8:E12)/STDEV(A8:A12)</f>
        <v>9.2486960621867662E-2</v>
      </c>
      <c r="O15" t="s">
        <v>59</v>
      </c>
      <c r="Q15" s="3"/>
    </row>
    <row r="16" spans="1:22" ht="16" x14ac:dyDescent="0.2">
      <c r="A16" s="82">
        <v>-3.9039999999999999</v>
      </c>
      <c r="B16" s="23">
        <f t="shared" si="0"/>
        <v>0.25614754098360654</v>
      </c>
      <c r="C16" s="39">
        <v>1.5931599999999999</v>
      </c>
      <c r="D16" s="7">
        <f t="shared" si="11"/>
        <v>8.9379999999999959E-2</v>
      </c>
      <c r="E16" s="6">
        <f t="shared" si="12"/>
        <v>0.44007225469893241</v>
      </c>
      <c r="F16" s="9">
        <f t="shared" si="13"/>
        <v>44.007225469893243</v>
      </c>
      <c r="G16" s="9">
        <f t="shared" si="14"/>
        <v>55.992774530106757</v>
      </c>
      <c r="H16" s="6">
        <f t="shared" si="15"/>
        <v>0.5268888308207017</v>
      </c>
      <c r="I16" s="9">
        <f t="shared" si="16"/>
        <v>52.68888308207017</v>
      </c>
      <c r="J16" s="10">
        <f t="shared" si="17"/>
        <v>-3.8511635478953661</v>
      </c>
      <c r="K16" s="10">
        <f t="shared" si="18"/>
        <v>-5.2836452104633835E-2</v>
      </c>
      <c r="M16" s="70" t="s">
        <v>87</v>
      </c>
      <c r="N16" s="78">
        <f>STDEV(E12:E16)/STDEV(A12:A16)</f>
        <v>0.24266633412887775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A17" s="94"/>
      <c r="B17" s="23"/>
      <c r="C17" s="31"/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STDEV(H8:H12)/STDEV(A8:A12)</f>
        <v>7.8146893846319426E-2</v>
      </c>
      <c r="O17" t="s">
        <v>62</v>
      </c>
    </row>
    <row r="18" spans="1:20" ht="16" x14ac:dyDescent="0.2">
      <c r="A18" s="100" t="s">
        <v>102</v>
      </c>
      <c r="B18" s="23"/>
      <c r="C18" s="31"/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STDEV(H12:H16)/STDEV(A12:A16)</f>
        <v>0.20504101470884589</v>
      </c>
      <c r="O18" t="s">
        <v>63</v>
      </c>
    </row>
    <row r="19" spans="1:20" ht="16" x14ac:dyDescent="0.2">
      <c r="A19" s="101">
        <v>-0.3</v>
      </c>
      <c r="B19" s="23">
        <f>-1/A19</f>
        <v>3.3333333333333335</v>
      </c>
      <c r="C19" s="49">
        <v>1.7219100000000001</v>
      </c>
      <c r="D19" s="7">
        <f t="shared" ref="D19" si="19">C19-$B$3-$B$4</f>
        <v>0.2181300000000001</v>
      </c>
      <c r="E19" s="6">
        <f>(D19/$B$23)</f>
        <v>1.0739870319699956</v>
      </c>
      <c r="F19" s="9">
        <f t="shared" ref="F19" si="20">100*E19</f>
        <v>107.39870319699956</v>
      </c>
      <c r="G19" s="9">
        <f t="shared" ref="G19" si="21">100-F19</f>
        <v>-7.3987031969995627</v>
      </c>
      <c r="H19" s="6">
        <f t="shared" ref="H19" si="22">(E19-N$10/100)/(1-N$10/100)</f>
        <v>1.0625153718371456</v>
      </c>
      <c r="I19" s="9">
        <f t="shared" ref="I19" si="23">H19*100</f>
        <v>106.25153718371456</v>
      </c>
      <c r="J19" s="10">
        <f>-1/($K$23+$K$22*G19)</f>
        <v>-1.9097465437525034</v>
      </c>
      <c r="K19" s="10">
        <f t="shared" ref="K19" si="24">A19-J19</f>
        <v>1.6097465437525034</v>
      </c>
      <c r="M19" s="60" t="s">
        <v>88</v>
      </c>
      <c r="N19" s="54" t="e">
        <f>N15*B23/18/(E3/10000)</f>
        <v>#DIV/0!</v>
      </c>
    </row>
    <row r="20" spans="1:20" x14ac:dyDescent="0.2">
      <c r="A20" s="82"/>
      <c r="B20" s="23"/>
      <c r="C20" s="39"/>
      <c r="D20" s="7"/>
      <c r="E20" s="6"/>
      <c r="F20" s="9"/>
      <c r="G20" s="9"/>
      <c r="H20" s="6"/>
      <c r="I20" s="9"/>
      <c r="J20" s="10"/>
      <c r="K20" s="10"/>
      <c r="M20" s="19"/>
      <c r="N20" s="20"/>
      <c r="R20" s="11"/>
      <c r="S20" s="10"/>
      <c r="T20" s="10"/>
    </row>
    <row r="21" spans="1:20" x14ac:dyDescent="0.2">
      <c r="A21" s="14" t="s">
        <v>4</v>
      </c>
      <c r="B21" s="14"/>
      <c r="C21" s="24"/>
      <c r="D21" s="15"/>
      <c r="J21" s="48" t="s">
        <v>30</v>
      </c>
      <c r="S21" s="10"/>
      <c r="T21" s="10"/>
    </row>
    <row r="22" spans="1:20" x14ac:dyDescent="0.2">
      <c r="A22" s="3" t="s">
        <v>50</v>
      </c>
      <c r="B22" s="35">
        <f>STDEV(D8:D13)/STDEV(A8:A13)</f>
        <v>2.1541502220797634E-2</v>
      </c>
      <c r="C22" s="5" t="s">
        <v>48</v>
      </c>
      <c r="D22" s="36">
        <f>COUNT(D8:D13)</f>
        <v>6</v>
      </c>
      <c r="J22" s="49" t="s">
        <v>50</v>
      </c>
      <c r="K22" s="41">
        <f>-STDEV(B13:B16)/STDEV(G13:G16)</f>
        <v>-4.1640914464771868E-3</v>
      </c>
      <c r="M22">
        <f>0.003*21</f>
        <v>6.3E-2</v>
      </c>
    </row>
    <row r="23" spans="1:20" ht="16" x14ac:dyDescent="0.2">
      <c r="A23" s="3" t="s">
        <v>3</v>
      </c>
      <c r="B23" s="30">
        <f>AVERAGE(D8:D13)-B22*AVERAGE(A8:A13)</f>
        <v>0.20310301102974032</v>
      </c>
      <c r="C23" s="33" t="s">
        <v>6</v>
      </c>
      <c r="J23" s="49" t="s">
        <v>3</v>
      </c>
      <c r="K23" s="42">
        <f>AVERAGE(B13:B16)-K22*AVERAGE(G13:G16)</f>
        <v>0.49282081818064472</v>
      </c>
      <c r="L23" s="31"/>
    </row>
    <row r="24" spans="1:20" x14ac:dyDescent="0.2">
      <c r="J24" s="5" t="s">
        <v>48</v>
      </c>
      <c r="K24" s="61">
        <f>COUNT(H12:H16)</f>
        <v>5</v>
      </c>
    </row>
    <row r="26" spans="1:20" x14ac:dyDescent="0.2">
      <c r="J26" s="103" t="s">
        <v>107</v>
      </c>
      <c r="K26" s="103">
        <f>-1/K23</f>
        <v>-2.0291350590498949</v>
      </c>
      <c r="S26" s="16"/>
      <c r="T26" s="16"/>
    </row>
    <row r="27" spans="1:20" x14ac:dyDescent="0.2">
      <c r="J27" s="103" t="s">
        <v>108</v>
      </c>
      <c r="K27" s="103">
        <f>-K26</f>
        <v>2.0291350590498949</v>
      </c>
    </row>
    <row r="28" spans="1:20" x14ac:dyDescent="0.2">
      <c r="J28" s="103" t="s">
        <v>117</v>
      </c>
      <c r="K28" s="103">
        <f>-(INTERCEPT(K8:K11,G8:G11)/(SLOPE(K8:K11,G8:G11)))</f>
        <v>24.049324243305094</v>
      </c>
    </row>
    <row r="29" spans="1:20" x14ac:dyDescent="0.2">
      <c r="J29" s="103" t="s">
        <v>111</v>
      </c>
      <c r="K29" s="103">
        <f>100-K28</f>
        <v>75.950675756694906</v>
      </c>
    </row>
    <row r="30" spans="1:20" x14ac:dyDescent="0.2">
      <c r="J30" s="103" t="s">
        <v>112</v>
      </c>
      <c r="K30" s="103">
        <f>-1/(K22*(K28)+K23)</f>
        <v>-2.5466207777195269</v>
      </c>
    </row>
    <row r="31" spans="1:20" x14ac:dyDescent="0.2">
      <c r="J31" s="103" t="s">
        <v>113</v>
      </c>
      <c r="K31" s="103">
        <f>K27/((100-K29)/100)</f>
        <v>8.4373890863680732</v>
      </c>
    </row>
  </sheetData>
  <phoneticPr fontId="12" type="noConversion"/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opLeftCell="A8" zoomScale="85" zoomScaleNormal="85" workbookViewId="0">
      <selection activeCell="A12" sqref="A12:A15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12.5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1.2686900000000001</v>
      </c>
      <c r="C3" s="3"/>
      <c r="D3" t="s">
        <v>35</v>
      </c>
      <c r="E3" s="40"/>
    </row>
    <row r="4" spans="1:22" x14ac:dyDescent="0.2">
      <c r="A4" s="3" t="s">
        <v>46</v>
      </c>
      <c r="B4" s="40">
        <v>6.2880000000000005E-2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B23/B4</f>
        <v>1.365242921647327</v>
      </c>
      <c r="O7" t="s">
        <v>7</v>
      </c>
      <c r="Q7" s="3"/>
    </row>
    <row r="8" spans="1:22" ht="16" thickBot="1" x14ac:dyDescent="0.25">
      <c r="A8" s="37">
        <v>-0.30099999999999999</v>
      </c>
      <c r="B8" s="6">
        <f t="shared" ref="B8:B15" si="0">-1/A8</f>
        <v>3.3222591362126246</v>
      </c>
      <c r="C8" s="84">
        <v>1.4164399999999999</v>
      </c>
      <c r="D8" s="7">
        <f>C8-$B$3-$B$4</f>
        <v>8.4869999999999821E-2</v>
      </c>
      <c r="E8" s="6">
        <f t="shared" ref="E8:E10" si="1">(D8/$B$23)</f>
        <v>0.98862533477150216</v>
      </c>
      <c r="F8" s="9">
        <f t="shared" ref="F8" si="2">100*E8</f>
        <v>98.862533477150222</v>
      </c>
      <c r="G8" s="9">
        <f t="shared" ref="G8" si="3">100-F8</f>
        <v>1.1374665228497776</v>
      </c>
      <c r="H8" s="6">
        <f>(E8-N$10/100)/(1-N$10/100)</f>
        <v>0.9905860427849511</v>
      </c>
      <c r="I8" s="9">
        <f>H8*100</f>
        <v>99.05860427849511</v>
      </c>
      <c r="J8" s="10">
        <f t="shared" ref="J8:J10" si="4">-1/($K$23+$K$22*G8)</f>
        <v>-2.1122332900244576</v>
      </c>
      <c r="K8" s="10">
        <f t="shared" ref="K8" si="5">A8-J8</f>
        <v>1.8112332900244577</v>
      </c>
      <c r="M8" s="62" t="s">
        <v>52</v>
      </c>
      <c r="N8" s="66">
        <f>-1/K23</f>
        <v>-2.0923488162039656</v>
      </c>
      <c r="O8" t="s">
        <v>8</v>
      </c>
      <c r="Q8" s="3"/>
    </row>
    <row r="9" spans="1:22" x14ac:dyDescent="0.2">
      <c r="A9" s="82">
        <v>-0.65100000000000002</v>
      </c>
      <c r="B9" s="6">
        <f t="shared" si="0"/>
        <v>1.5360983102918586</v>
      </c>
      <c r="C9" s="38">
        <v>1.40961</v>
      </c>
      <c r="D9" s="7">
        <f>C9-$B$3-$B$4</f>
        <v>7.8039999999999929E-2</v>
      </c>
      <c r="E9" s="6">
        <f t="shared" si="1"/>
        <v>0.90906470043087217</v>
      </c>
      <c r="F9" s="9">
        <f t="shared" ref="F9:F10" si="6">100*E9</f>
        <v>90.906470043087211</v>
      </c>
      <c r="G9" s="9">
        <f t="shared" ref="G9:G10" si="7">100-F9</f>
        <v>9.0935299569127892</v>
      </c>
      <c r="H9" s="6">
        <f>(E9-N$10/100)/(1-N$10/100)</f>
        <v>0.92473967345107877</v>
      </c>
      <c r="I9" s="9">
        <f>H9*100</f>
        <v>92.47396734510788</v>
      </c>
      <c r="J9" s="10">
        <f t="shared" si="4"/>
        <v>-2.2626355030226319</v>
      </c>
      <c r="K9" s="10">
        <f t="shared" ref="K9:K10" si="8">A9-J9</f>
        <v>1.6116355030226319</v>
      </c>
      <c r="M9" s="67" t="s">
        <v>47</v>
      </c>
      <c r="N9" s="68">
        <f>J12</f>
        <v>-3.0345656531335732</v>
      </c>
      <c r="O9" t="s">
        <v>67</v>
      </c>
      <c r="Q9" s="3"/>
    </row>
    <row r="10" spans="1:22" x14ac:dyDescent="0.2">
      <c r="A10" s="82">
        <v>-1.34</v>
      </c>
      <c r="B10" s="6">
        <f t="shared" si="0"/>
        <v>0.74626865671641784</v>
      </c>
      <c r="C10" s="38">
        <v>1.39798</v>
      </c>
      <c r="D10" s="7">
        <f t="shared" ref="D10" si="9">C10-$B$3-$B$4</f>
        <v>6.64099999999999E-2</v>
      </c>
      <c r="E10" s="6">
        <f t="shared" si="1"/>
        <v>0.77359029671468715</v>
      </c>
      <c r="F10" s="9">
        <f t="shared" si="6"/>
        <v>77.359029671468718</v>
      </c>
      <c r="G10" s="9">
        <f t="shared" si="7"/>
        <v>22.640970328531282</v>
      </c>
      <c r="H10" s="6">
        <f t="shared" ref="H10" si="10">(E10-N$10/100)/(1-N$10/100)</f>
        <v>0.81261767120320882</v>
      </c>
      <c r="I10" s="9">
        <f t="shared" ref="I10" si="11">H10*100</f>
        <v>81.261767120320883</v>
      </c>
      <c r="J10" s="10">
        <f t="shared" si="4"/>
        <v>-2.5748256410741255</v>
      </c>
      <c r="K10" s="10">
        <f t="shared" si="8"/>
        <v>1.2348256410741254</v>
      </c>
      <c r="M10" s="62" t="s">
        <v>82</v>
      </c>
      <c r="N10" s="63">
        <f>100+(K23/K22)</f>
        <v>-20.827670751624339</v>
      </c>
      <c r="O10" t="s">
        <v>8</v>
      </c>
      <c r="Q10" s="3"/>
    </row>
    <row r="11" spans="1:22" ht="16.5" customHeight="1" thickBot="1" x14ac:dyDescent="0.25">
      <c r="A11" s="95">
        <v>-2.3620000000000001</v>
      </c>
      <c r="B11" s="25">
        <f t="shared" si="0"/>
        <v>0.42337002540220153</v>
      </c>
      <c r="C11" s="85">
        <v>1.39107</v>
      </c>
      <c r="D11" s="26">
        <f t="shared" ref="D11:D15" si="12">C11-$B$3-$B$4</f>
        <v>5.9499999999999928E-2</v>
      </c>
      <c r="E11" s="27">
        <f t="shared" ref="E11:E15" si="13">(D11/$B$23)</f>
        <v>0.69309776621779706</v>
      </c>
      <c r="F11" s="28">
        <f t="shared" ref="F11:F15" si="14">100*E11</f>
        <v>69.309776621779704</v>
      </c>
      <c r="G11" s="28">
        <f t="shared" ref="G11:G15" si="15">100-F11</f>
        <v>30.690223378220296</v>
      </c>
      <c r="H11" s="27">
        <f t="shared" ref="H11:H15" si="16">(E11-N$10/100)/(1-N$10/100)</f>
        <v>0.74600004132076903</v>
      </c>
      <c r="I11" s="28">
        <f t="shared" ref="I11:I15" si="17">H11*100</f>
        <v>74.600004132076904</v>
      </c>
      <c r="J11" s="29">
        <f t="shared" ref="J11:J15" si="18">-1/($K$23+$K$22*G11)</f>
        <v>-2.8047569709239286</v>
      </c>
      <c r="K11" s="29">
        <f t="shared" ref="K11:K15" si="19">A11-J11</f>
        <v>0.44275697092392852</v>
      </c>
      <c r="M11" s="81" t="s">
        <v>84</v>
      </c>
      <c r="N11" s="69">
        <f>F12</f>
        <v>62.483637277180918</v>
      </c>
      <c r="O11" t="s">
        <v>57</v>
      </c>
      <c r="Q11" s="6"/>
    </row>
    <row r="12" spans="1:22" x14ac:dyDescent="0.2">
      <c r="A12" s="96">
        <v>-3.0019999999999998</v>
      </c>
      <c r="B12" s="97">
        <f t="shared" si="0"/>
        <v>0.33311125916055967</v>
      </c>
      <c r="C12" s="98">
        <v>1.3852100000000001</v>
      </c>
      <c r="D12" s="7">
        <f t="shared" si="12"/>
        <v>5.3639999999999952E-2</v>
      </c>
      <c r="E12" s="6">
        <f t="shared" si="13"/>
        <v>0.62483637277180915</v>
      </c>
      <c r="F12" s="9">
        <f t="shared" si="14"/>
        <v>62.483637277180918</v>
      </c>
      <c r="G12" s="9">
        <f t="shared" si="15"/>
        <v>37.516362722819082</v>
      </c>
      <c r="H12" s="6">
        <f t="shared" si="16"/>
        <v>0.68950520613826582</v>
      </c>
      <c r="I12" s="9">
        <f t="shared" si="17"/>
        <v>68.950520613826583</v>
      </c>
      <c r="J12" s="10">
        <f t="shared" si="18"/>
        <v>-3.0345656531335732</v>
      </c>
      <c r="K12" s="10">
        <f t="shared" si="19"/>
        <v>3.2565653133573402E-2</v>
      </c>
      <c r="M12" s="70" t="s">
        <v>85</v>
      </c>
      <c r="N12" s="71">
        <f>I12</f>
        <v>68.950520613826583</v>
      </c>
      <c r="O12" t="s">
        <v>66</v>
      </c>
      <c r="Q12" s="3"/>
    </row>
    <row r="13" spans="1:22" ht="16" x14ac:dyDescent="0.2">
      <c r="A13" s="82">
        <v>-3.3359999999999999</v>
      </c>
      <c r="B13" s="6">
        <f t="shared" si="0"/>
        <v>0.29976019184652281</v>
      </c>
      <c r="C13" s="84">
        <v>1.38045</v>
      </c>
      <c r="D13" s="7">
        <f t="shared" si="12"/>
        <v>4.8879999999999854E-2</v>
      </c>
      <c r="E13" s="6">
        <f t="shared" si="13"/>
        <v>0.56938855147438416</v>
      </c>
      <c r="F13" s="9">
        <f t="shared" si="14"/>
        <v>56.938855147438417</v>
      </c>
      <c r="G13" s="9">
        <f t="shared" si="15"/>
        <v>43.061144852561583</v>
      </c>
      <c r="H13" s="6">
        <f t="shared" si="16"/>
        <v>0.64361520349855206</v>
      </c>
      <c r="I13" s="9">
        <f t="shared" si="17"/>
        <v>64.361520349855212</v>
      </c>
      <c r="J13" s="10">
        <f t="shared" si="18"/>
        <v>-3.2509313093140331</v>
      </c>
      <c r="K13" s="10">
        <f t="shared" si="19"/>
        <v>-8.5068690685966786E-2</v>
      </c>
      <c r="M13" s="72" t="s">
        <v>83</v>
      </c>
      <c r="N13" s="73">
        <f>STDEV(K8:K12)/STDEV(E8:E12)</f>
        <v>5.0810744113230948</v>
      </c>
      <c r="O13" t="s">
        <v>58</v>
      </c>
      <c r="Q13" s="3"/>
    </row>
    <row r="14" spans="1:22" ht="18" x14ac:dyDescent="0.2">
      <c r="A14" s="99">
        <v>-3.5870000000000002</v>
      </c>
      <c r="B14" s="86">
        <f t="shared" si="0"/>
        <v>0.27878449958182322</v>
      </c>
      <c r="C14" s="38">
        <v>1.373</v>
      </c>
      <c r="D14" s="7">
        <f t="shared" si="12"/>
        <v>4.1429999999999897E-2</v>
      </c>
      <c r="E14" s="6">
        <f t="shared" si="13"/>
        <v>0.48260572192274442</v>
      </c>
      <c r="F14" s="9">
        <f t="shared" si="14"/>
        <v>48.260572192274445</v>
      </c>
      <c r="G14" s="9">
        <f t="shared" si="15"/>
        <v>51.739427807725555</v>
      </c>
      <c r="H14" s="6">
        <f t="shared" si="16"/>
        <v>0.57179156491328775</v>
      </c>
      <c r="I14" s="9">
        <f t="shared" si="17"/>
        <v>57.179156491328776</v>
      </c>
      <c r="J14" s="10">
        <f t="shared" si="18"/>
        <v>-3.6592859087056837</v>
      </c>
      <c r="K14" s="10">
        <f t="shared" si="19"/>
        <v>7.2285908705683521E-2</v>
      </c>
      <c r="M14" s="74" t="s">
        <v>1</v>
      </c>
      <c r="N14" s="75">
        <f>STDEV(K8:K12)/STDEV(H8:H12)</f>
        <v>6.1393438603585055</v>
      </c>
      <c r="O14" t="s">
        <v>65</v>
      </c>
    </row>
    <row r="15" spans="1:22" ht="16" x14ac:dyDescent="0.2">
      <c r="A15" s="82">
        <v>-3.8479999999999999</v>
      </c>
      <c r="B15" s="23">
        <f t="shared" si="0"/>
        <v>0.25987525987525989</v>
      </c>
      <c r="C15" s="83">
        <v>1.37036</v>
      </c>
      <c r="D15" s="7">
        <f t="shared" si="12"/>
        <v>3.8789999999999922E-2</v>
      </c>
      <c r="E15" s="6">
        <f t="shared" si="13"/>
        <v>0.45185314876619032</v>
      </c>
      <c r="F15" s="9">
        <f t="shared" si="14"/>
        <v>45.185314876619032</v>
      </c>
      <c r="G15" s="9">
        <f t="shared" si="15"/>
        <v>54.814685123380968</v>
      </c>
      <c r="H15" s="6">
        <f t="shared" si="16"/>
        <v>0.54633996681059027</v>
      </c>
      <c r="I15" s="9">
        <f t="shared" si="17"/>
        <v>54.633996681059024</v>
      </c>
      <c r="J15" s="10">
        <f t="shared" si="18"/>
        <v>-3.8297560920146974</v>
      </c>
      <c r="K15" s="10">
        <f t="shared" si="19"/>
        <v>-1.824390798530251E-2</v>
      </c>
      <c r="M15" s="76" t="s">
        <v>86</v>
      </c>
      <c r="N15" s="77">
        <f>STDEV(E8:E12)/STDEV(A8:A12)</f>
        <v>0.13202527809474077</v>
      </c>
      <c r="O15" t="s">
        <v>59</v>
      </c>
      <c r="Q15" s="3"/>
    </row>
    <row r="16" spans="1:22" ht="16" x14ac:dyDescent="0.2">
      <c r="A16" s="82"/>
      <c r="B16" s="23"/>
      <c r="C16" s="39"/>
      <c r="D16" s="7"/>
      <c r="E16" s="6"/>
      <c r="F16" s="9"/>
      <c r="G16" s="9"/>
      <c r="H16" s="6"/>
      <c r="I16" s="9"/>
      <c r="J16" s="10"/>
      <c r="K16" s="10"/>
      <c r="M16" s="70" t="s">
        <v>87</v>
      </c>
      <c r="N16" s="78">
        <f>STDEV(E12:E16)/STDEV(A12:A16)</f>
        <v>0.21982692346263685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A17" s="102" t="s">
        <v>102</v>
      </c>
      <c r="B17" s="23"/>
      <c r="C17" s="39"/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STDEV(H8:H12)/STDEV(A8:A12)</f>
        <v>0.10926741968413378</v>
      </c>
      <c r="O17" t="s">
        <v>62</v>
      </c>
    </row>
    <row r="18" spans="1:20" ht="16" x14ac:dyDescent="0.2">
      <c r="A18" s="37">
        <v>-0.12</v>
      </c>
      <c r="B18" s="6">
        <f>-1/A18</f>
        <v>8.3333333333333339</v>
      </c>
      <c r="C18" s="38">
        <v>1.42896</v>
      </c>
      <c r="D18" s="7">
        <f t="shared" ref="D18" si="20">C18-$B$3-$B$4</f>
        <v>9.7389999999999907E-2</v>
      </c>
      <c r="E18" s="6">
        <f>(D18/$B$23)</f>
        <v>1.1344670832260717</v>
      </c>
      <c r="F18" s="9">
        <f t="shared" ref="F18" si="21">100*E18</f>
        <v>113.44670832260717</v>
      </c>
      <c r="G18" s="9">
        <f t="shared" ref="G18" si="22">100-F18</f>
        <v>-13.446708322607165</v>
      </c>
      <c r="H18" s="6">
        <f t="shared" ref="H18" si="23">(E18-N$10/100)/(1-N$10/100)</f>
        <v>1.111288318635625</v>
      </c>
      <c r="I18" s="9">
        <f t="shared" ref="I18" si="24">H18*100</f>
        <v>111.12883186356251</v>
      </c>
      <c r="J18" s="10">
        <f>-1/($K$23+$K$22*G18)</f>
        <v>-1.8828136507120219</v>
      </c>
      <c r="K18" s="10">
        <f t="shared" ref="K18" si="25">A18-J18</f>
        <v>1.762813650712022</v>
      </c>
      <c r="M18" s="79" t="s">
        <v>0</v>
      </c>
      <c r="N18" s="80">
        <f>STDEV(H12:H16)/STDEV(A12:A16)</f>
        <v>0.18193425570084554</v>
      </c>
      <c r="O18" t="s">
        <v>63</v>
      </c>
    </row>
    <row r="19" spans="1:20" ht="16" x14ac:dyDescent="0.2">
      <c r="A19" s="101"/>
      <c r="B19" s="23"/>
      <c r="C19" s="49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N15*B23/18/(E3/10000)</f>
        <v>#DIV/0!</v>
      </c>
    </row>
    <row r="20" spans="1:20" x14ac:dyDescent="0.2">
      <c r="A20" s="82"/>
      <c r="B20" s="86"/>
      <c r="C20" s="38"/>
      <c r="D20" s="7"/>
      <c r="E20" s="6"/>
      <c r="F20" s="9"/>
      <c r="G20" s="9"/>
      <c r="H20" s="6"/>
      <c r="I20" s="9"/>
      <c r="J20" s="10"/>
      <c r="K20" s="10"/>
      <c r="S20" s="10"/>
      <c r="T20" s="10"/>
    </row>
    <row r="21" spans="1:20" x14ac:dyDescent="0.2">
      <c r="A21" s="14" t="s">
        <v>4</v>
      </c>
      <c r="B21" s="14"/>
      <c r="C21" s="24"/>
      <c r="D21" s="15"/>
      <c r="J21" s="48" t="s">
        <v>30</v>
      </c>
      <c r="S21" s="10"/>
      <c r="T21" s="10"/>
    </row>
    <row r="22" spans="1:20" x14ac:dyDescent="0.2">
      <c r="A22" s="3" t="s">
        <v>50</v>
      </c>
      <c r="B22" s="35">
        <f>STDEV(D8:D12)/STDEV(A8:A12)</f>
        <v>1.1333904723866257E-2</v>
      </c>
      <c r="C22" s="5" t="s">
        <v>48</v>
      </c>
      <c r="D22" s="36">
        <f>COUNT(D8:D12)</f>
        <v>5</v>
      </c>
      <c r="J22" s="49" t="s">
        <v>50</v>
      </c>
      <c r="K22" s="41">
        <f>-STDEV(B12:B16)/STDEV(G12:G16)</f>
        <v>-3.9554828777409795E-3</v>
      </c>
      <c r="S22" s="10"/>
      <c r="T22" s="10"/>
    </row>
    <row r="23" spans="1:20" ht="16" x14ac:dyDescent="0.2">
      <c r="A23" s="3" t="s">
        <v>3</v>
      </c>
      <c r="B23" s="30">
        <f>AVERAGE(D8:D12)-B22*AVERAGE(A8:A12)</f>
        <v>8.5846474913183923E-2</v>
      </c>
      <c r="C23" s="33" t="s">
        <v>6</v>
      </c>
      <c r="J23" s="49" t="s">
        <v>3</v>
      </c>
      <c r="K23" s="42">
        <f>AVERAGE(B12:B16)-K22*AVERAGE(G12:G16)</f>
        <v>0.47793178281537463</v>
      </c>
      <c r="S23" s="10"/>
      <c r="T23" s="10"/>
    </row>
    <row r="24" spans="1:20" x14ac:dyDescent="0.2">
      <c r="J24" s="5" t="s">
        <v>48</v>
      </c>
      <c r="K24" s="61">
        <f>COUNT(H12:H16)</f>
        <v>4</v>
      </c>
    </row>
    <row r="26" spans="1:20" x14ac:dyDescent="0.2">
      <c r="J26" s="103" t="s">
        <v>107</v>
      </c>
      <c r="K26" s="103">
        <f>-1/K23</f>
        <v>-2.0923488162039656</v>
      </c>
    </row>
    <row r="27" spans="1:20" x14ac:dyDescent="0.2">
      <c r="J27" s="103" t="s">
        <v>108</v>
      </c>
      <c r="K27" s="103">
        <f>-K26</f>
        <v>2.0923488162039656</v>
      </c>
    </row>
    <row r="28" spans="1:20" x14ac:dyDescent="0.2">
      <c r="J28" s="103" t="s">
        <v>117</v>
      </c>
      <c r="K28" s="103">
        <f>-(INTERCEPT(K8:K11,G8:G11)/(SLOPE(K8:K11,G8:G11)))</f>
        <v>45.461155514445515</v>
      </c>
      <c r="S28" s="16"/>
      <c r="T28" s="16"/>
    </row>
    <row r="29" spans="1:20" x14ac:dyDescent="0.2">
      <c r="J29" s="103" t="s">
        <v>111</v>
      </c>
      <c r="K29" s="103">
        <f>100-K28</f>
        <v>54.538844485554485</v>
      </c>
    </row>
    <row r="30" spans="1:20" x14ac:dyDescent="0.2">
      <c r="J30" s="103" t="s">
        <v>112</v>
      </c>
      <c r="K30" s="103">
        <f>-1/(K22*(K28)+K23)</f>
        <v>-3.3544556633172951</v>
      </c>
    </row>
    <row r="31" spans="1:20" x14ac:dyDescent="0.2">
      <c r="J31" s="103" t="s">
        <v>113</v>
      </c>
      <c r="K31" s="103">
        <f>K27/((100-K29)/100)</f>
        <v>4.602498094310671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zoomScale="85" zoomScaleNormal="85" workbookViewId="0">
      <selection activeCell="K36" sqref="K36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11.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5.5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1.095302</v>
      </c>
      <c r="C3" s="3"/>
      <c r="D3" t="s">
        <v>35</v>
      </c>
      <c r="E3" s="40"/>
    </row>
    <row r="4" spans="1:22" x14ac:dyDescent="0.2">
      <c r="A4" s="3" t="s">
        <v>46</v>
      </c>
      <c r="B4" s="40">
        <v>0.141599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B28/B4</f>
        <v>1.4915699729413119</v>
      </c>
      <c r="O7" t="s">
        <v>7</v>
      </c>
      <c r="Q7" s="3"/>
    </row>
    <row r="8" spans="1:22" ht="16" thickBot="1" x14ac:dyDescent="0.25">
      <c r="A8" s="82">
        <v>-0.79700000000000004</v>
      </c>
      <c r="B8" s="6">
        <f t="shared" ref="B8:B15" si="0">-1/A8</f>
        <v>1.2547051442910915</v>
      </c>
      <c r="C8" s="38">
        <v>1.43912</v>
      </c>
      <c r="D8" s="7">
        <f>C8-$B$3-$B$4</f>
        <v>0.20221899999999995</v>
      </c>
      <c r="E8" s="6">
        <f>(D8/$B$28)</f>
        <v>0.95745449018050477</v>
      </c>
      <c r="F8" s="9">
        <f t="shared" ref="F8" si="1">100*E8</f>
        <v>95.745449018050479</v>
      </c>
      <c r="G8" s="9">
        <f t="shared" ref="G8" si="2">100-F8</f>
        <v>4.2545509819495209</v>
      </c>
      <c r="H8" s="6">
        <f>(E8-N$10/100)/(1-N$10/100)</f>
        <v>0.91904749174018552</v>
      </c>
      <c r="I8" s="9">
        <f>H8*100</f>
        <v>91.904749174018548</v>
      </c>
      <c r="J8" s="10">
        <f>-1/($K$28+$K$27*G8)</f>
        <v>-2.3998012177687427</v>
      </c>
      <c r="K8" s="10">
        <f t="shared" ref="K8" si="3">A8-J8</f>
        <v>1.6028012177687425</v>
      </c>
      <c r="M8" s="62" t="s">
        <v>52</v>
      </c>
      <c r="N8" s="66">
        <f>-1/K28</f>
        <v>-2.2055312898654065</v>
      </c>
      <c r="O8" t="s">
        <v>8</v>
      </c>
      <c r="Q8" s="3"/>
    </row>
    <row r="9" spans="1:22" x14ac:dyDescent="0.2">
      <c r="A9" s="82">
        <v>-1.94</v>
      </c>
      <c r="B9" s="6">
        <f t="shared" si="0"/>
        <v>0.51546391752577325</v>
      </c>
      <c r="C9" s="38">
        <v>1.4274</v>
      </c>
      <c r="D9" s="7">
        <f t="shared" ref="D9" si="4">C9-$B$3-$B$4</f>
        <v>0.190499</v>
      </c>
      <c r="E9" s="6">
        <f t="shared" ref="E9" si="5">(D9/$B$28)</f>
        <v>0.90196333146191021</v>
      </c>
      <c r="F9" s="9">
        <f t="shared" ref="F9" si="6">100*E9</f>
        <v>90.196333146191023</v>
      </c>
      <c r="G9" s="9">
        <f t="shared" ref="G9" si="7">100-F9</f>
        <v>9.8036668538089771</v>
      </c>
      <c r="H9" s="6">
        <f t="shared" ref="H9" si="8">(E9-N$10/100)/(1-N$10/100)</f>
        <v>0.81346294231129845</v>
      </c>
      <c r="I9" s="9">
        <f t="shared" ref="I9" si="9">H9*100</f>
        <v>81.346294231129846</v>
      </c>
      <c r="J9" s="10">
        <f t="shared" ref="J9" si="10">-1/($K$28+$K$27*G9)</f>
        <v>-2.7112867411007233</v>
      </c>
      <c r="K9" s="10">
        <f t="shared" ref="K9" si="11">A9-J9</f>
        <v>0.77128674110072337</v>
      </c>
      <c r="M9" s="67" t="s">
        <v>47</v>
      </c>
      <c r="N9" s="68">
        <f>J11</f>
        <v>-3.1148995002397379</v>
      </c>
      <c r="O9" t="s">
        <v>67</v>
      </c>
      <c r="Q9" s="3"/>
    </row>
    <row r="10" spans="1:22" ht="16" thickBot="1" x14ac:dyDescent="0.25">
      <c r="A10" s="95">
        <v>-2.4660000000000002</v>
      </c>
      <c r="B10" s="25">
        <f t="shared" si="0"/>
        <v>0.40551500405515001</v>
      </c>
      <c r="C10" s="85">
        <v>1.4235899999999999</v>
      </c>
      <c r="D10" s="26">
        <f t="shared" ref="D10:D20" si="12">C10-$B$3-$B$4</f>
        <v>0.18668899999999991</v>
      </c>
      <c r="E10" s="27">
        <f t="shared" ref="E10:E20" si="13">(D10/$B$28)</f>
        <v>0.8839239701378615</v>
      </c>
      <c r="F10" s="28">
        <f t="shared" ref="F10:F20" si="14">100*E10</f>
        <v>88.392397013786152</v>
      </c>
      <c r="G10" s="28">
        <f t="shared" ref="G10:G20" si="15">100-F10</f>
        <v>11.607602986213848</v>
      </c>
      <c r="H10" s="27">
        <f t="shared" ref="H10:H20" si="16">(E10-N$10/100)/(1-N$10/100)</f>
        <v>0.77913895482630957</v>
      </c>
      <c r="I10" s="28">
        <f t="shared" ref="I10:I20" si="17">H10*100</f>
        <v>77.913895482630963</v>
      </c>
      <c r="J10" s="29">
        <f t="shared" ref="J10:J20" si="18">-1/($K$28+$K$27*G10)</f>
        <v>-2.8307290711155324</v>
      </c>
      <c r="K10" s="29">
        <f t="shared" ref="K10:K20" si="19">A10-J10</f>
        <v>0.36472907111553221</v>
      </c>
      <c r="M10" s="62" t="s">
        <v>82</v>
      </c>
      <c r="N10" s="63">
        <f>100+(K28/K27)</f>
        <v>47.443864638576912</v>
      </c>
      <c r="O10" t="s">
        <v>8</v>
      </c>
      <c r="Q10" s="3"/>
    </row>
    <row r="11" spans="1:22" ht="16.5" customHeight="1" x14ac:dyDescent="0.2">
      <c r="A11" s="96">
        <v>-2.9180000000000001</v>
      </c>
      <c r="B11" s="97">
        <f>-1/A11</f>
        <v>0.3427004797806717</v>
      </c>
      <c r="C11" s="98">
        <v>1.4157</v>
      </c>
      <c r="D11" s="7">
        <f t="shared" si="12"/>
        <v>0.17879899999999996</v>
      </c>
      <c r="E11" s="6">
        <f t="shared" si="13"/>
        <v>0.84656686755341526</v>
      </c>
      <c r="F11" s="9">
        <f t="shared" si="14"/>
        <v>84.656686755341525</v>
      </c>
      <c r="G11" s="9">
        <f t="shared" si="15"/>
        <v>15.343313244658475</v>
      </c>
      <c r="H11" s="6">
        <f t="shared" si="16"/>
        <v>0.70805857129440541</v>
      </c>
      <c r="I11" s="9">
        <f t="shared" si="17"/>
        <v>70.80585712944054</v>
      </c>
      <c r="J11" s="10">
        <f t="shared" si="18"/>
        <v>-3.1148995002397379</v>
      </c>
      <c r="K11" s="10">
        <f t="shared" si="19"/>
        <v>0.19689950023973779</v>
      </c>
      <c r="M11" s="81" t="s">
        <v>84</v>
      </c>
      <c r="N11" s="69">
        <f>F11</f>
        <v>84.656686755341525</v>
      </c>
      <c r="O11" t="s">
        <v>57</v>
      </c>
      <c r="Q11" s="6"/>
    </row>
    <row r="12" spans="1:22" x14ac:dyDescent="0.2">
      <c r="A12" s="82">
        <v>-3.72</v>
      </c>
      <c r="B12" s="6">
        <f t="shared" si="0"/>
        <v>0.26881720430107525</v>
      </c>
      <c r="C12" s="84">
        <v>1.40706</v>
      </c>
      <c r="D12" s="7">
        <f t="shared" si="12"/>
        <v>0.17015899999999998</v>
      </c>
      <c r="E12" s="6">
        <f t="shared" si="13"/>
        <v>0.80565870959021912</v>
      </c>
      <c r="F12" s="9">
        <f t="shared" si="14"/>
        <v>80.565870959021908</v>
      </c>
      <c r="G12" s="9">
        <f t="shared" si="15"/>
        <v>19.434129040978092</v>
      </c>
      <c r="H12" s="6">
        <f t="shared" si="16"/>
        <v>0.63022149731269994</v>
      </c>
      <c r="I12" s="9">
        <f t="shared" si="17"/>
        <v>63.022149731269991</v>
      </c>
      <c r="J12" s="10">
        <f t="shared" si="18"/>
        <v>-3.4996129127138893</v>
      </c>
      <c r="K12" s="10">
        <f t="shared" si="19"/>
        <v>-0.22038708728611089</v>
      </c>
      <c r="M12" s="70" t="s">
        <v>85</v>
      </c>
      <c r="N12" s="71">
        <f>I11</f>
        <v>70.80585712944054</v>
      </c>
      <c r="O12" t="s">
        <v>66</v>
      </c>
      <c r="Q12" s="3"/>
    </row>
    <row r="13" spans="1:22" ht="16" x14ac:dyDescent="0.2">
      <c r="A13" s="99">
        <v>-3.7410000000000001</v>
      </c>
      <c r="B13" s="86">
        <f t="shared" si="0"/>
        <v>0.26730820636193531</v>
      </c>
      <c r="C13" s="38">
        <v>1.3992</v>
      </c>
      <c r="D13" s="7">
        <f t="shared" si="12"/>
        <v>0.162299</v>
      </c>
      <c r="E13" s="6">
        <f t="shared" si="13"/>
        <v>0.76844364922092279</v>
      </c>
      <c r="F13" s="9">
        <f t="shared" si="14"/>
        <v>76.844364922092282</v>
      </c>
      <c r="G13" s="9">
        <f t="shared" si="15"/>
        <v>23.155635077907718</v>
      </c>
      <c r="H13" s="6">
        <f t="shared" si="16"/>
        <v>0.55941138139878765</v>
      </c>
      <c r="I13" s="9">
        <f t="shared" si="17"/>
        <v>55.941138139878767</v>
      </c>
      <c r="J13" s="10">
        <f t="shared" si="18"/>
        <v>-3.9425928095180249</v>
      </c>
      <c r="K13" s="10">
        <f t="shared" si="19"/>
        <v>0.20159280951802483</v>
      </c>
      <c r="M13" s="72" t="s">
        <v>83</v>
      </c>
      <c r="N13" s="73">
        <f>STDEV(K8:K11)/STDEV(E8:E11)</f>
        <v>13.591965292068179</v>
      </c>
      <c r="O13" t="s">
        <v>58</v>
      </c>
      <c r="Q13" s="3"/>
    </row>
    <row r="14" spans="1:22" ht="18" x14ac:dyDescent="0.2">
      <c r="A14" s="82">
        <v>-4.1920000000000002</v>
      </c>
      <c r="B14" s="23">
        <f t="shared" si="0"/>
        <v>0.23854961832061067</v>
      </c>
      <c r="C14" s="83">
        <v>1.3922399999999999</v>
      </c>
      <c r="D14" s="7">
        <f t="shared" si="12"/>
        <v>0.15533899999999992</v>
      </c>
      <c r="E14" s="6">
        <f t="shared" si="13"/>
        <v>0.73548985530612554</v>
      </c>
      <c r="F14" s="9">
        <f t="shared" si="14"/>
        <v>73.548985530612555</v>
      </c>
      <c r="G14" s="9">
        <f t="shared" si="15"/>
        <v>26.451014469387445</v>
      </c>
      <c r="H14" s="6">
        <f t="shared" si="16"/>
        <v>0.49670929402463543</v>
      </c>
      <c r="I14" s="9">
        <f t="shared" si="17"/>
        <v>49.670929402463543</v>
      </c>
      <c r="J14" s="10">
        <f t="shared" si="18"/>
        <v>-4.4402859306192441</v>
      </c>
      <c r="K14" s="10">
        <f t="shared" si="19"/>
        <v>0.24828593061924398</v>
      </c>
      <c r="M14" s="74" t="s">
        <v>1</v>
      </c>
      <c r="N14" s="75">
        <f>STDEV(K8:K11)/STDEV(H8:H11)</f>
        <v>7.1434116771770011</v>
      </c>
      <c r="O14" t="s">
        <v>65</v>
      </c>
    </row>
    <row r="15" spans="1:22" ht="16" x14ac:dyDescent="0.2">
      <c r="A15" s="82">
        <v>-5.2809999999999997</v>
      </c>
      <c r="B15" s="23">
        <f t="shared" si="0"/>
        <v>0.18935807612194661</v>
      </c>
      <c r="C15" s="39">
        <v>1.3859300000000001</v>
      </c>
      <c r="D15" s="7">
        <f t="shared" si="12"/>
        <v>0.14902900000000011</v>
      </c>
      <c r="E15" s="6">
        <f t="shared" si="13"/>
        <v>0.70561364271957916</v>
      </c>
      <c r="F15" s="9">
        <f t="shared" si="14"/>
        <v>70.561364271957913</v>
      </c>
      <c r="G15" s="9">
        <f t="shared" si="15"/>
        <v>29.438635728042087</v>
      </c>
      <c r="H15" s="6">
        <f t="shared" si="16"/>
        <v>0.43986300504031273</v>
      </c>
      <c r="I15" s="9">
        <f t="shared" si="17"/>
        <v>43.98630050403127</v>
      </c>
      <c r="J15" s="10">
        <f t="shared" si="18"/>
        <v>-5.0141322743504499</v>
      </c>
      <c r="K15" s="10">
        <f t="shared" si="19"/>
        <v>-0.26686772564954975</v>
      </c>
      <c r="M15" s="76" t="s">
        <v>86</v>
      </c>
      <c r="N15" s="77">
        <f>STDEV(E8:E11)/STDEV(A8:A11)</f>
        <v>5.0497640766692303E-2</v>
      </c>
      <c r="O15" t="s">
        <v>59</v>
      </c>
      <c r="Q15" s="3"/>
    </row>
    <row r="16" spans="1:22" ht="16" x14ac:dyDescent="0.2">
      <c r="A16" s="82"/>
      <c r="B16" s="23"/>
      <c r="C16" s="39"/>
      <c r="D16" s="7"/>
      <c r="E16" s="6"/>
      <c r="F16" s="9"/>
      <c r="G16" s="9"/>
      <c r="H16" s="6"/>
      <c r="I16" s="9"/>
      <c r="J16" s="10"/>
      <c r="K16" s="10"/>
      <c r="M16" s="70" t="s">
        <v>87</v>
      </c>
      <c r="N16" s="78">
        <f>STDEV(E11:E15)/STDEV(A11:A15)</f>
        <v>6.4519694419095969E-2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STDEV(H8:H11)/STDEV(A8:A11)</f>
        <v>9.6083245884472368E-2</v>
      </c>
      <c r="O17" t="s">
        <v>62</v>
      </c>
    </row>
    <row r="18" spans="1:20" ht="16" x14ac:dyDescent="0.2"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STDEV(H11:H15)/STDEV(A11:A15)</f>
        <v>0.12276339189592421</v>
      </c>
      <c r="O18" t="s">
        <v>63</v>
      </c>
    </row>
    <row r="19" spans="1:20" ht="16" x14ac:dyDescent="0.2">
      <c r="A19" s="37">
        <v>-0.47399999999999998</v>
      </c>
      <c r="B19" s="6">
        <f>-1/A19</f>
        <v>2.109704641350211</v>
      </c>
      <c r="C19" s="38">
        <v>1.46618</v>
      </c>
      <c r="D19" s="7">
        <f t="shared" si="12"/>
        <v>0.22927900000000004</v>
      </c>
      <c r="E19" s="6">
        <f t="shared" si="13"/>
        <v>1.0855765682457932</v>
      </c>
      <c r="F19" s="9">
        <f t="shared" si="14"/>
        <v>108.55765682457931</v>
      </c>
      <c r="G19" s="9">
        <f t="shared" si="15"/>
        <v>-8.5576568245793112</v>
      </c>
      <c r="H19" s="6">
        <f t="shared" si="16"/>
        <v>1.1628288831690001</v>
      </c>
      <c r="I19" s="9">
        <f t="shared" si="17"/>
        <v>116.28288831690001</v>
      </c>
      <c r="J19" s="10">
        <f t="shared" si="18"/>
        <v>-1.8966946227331241</v>
      </c>
      <c r="K19" s="10">
        <f t="shared" si="19"/>
        <v>1.4226946227331241</v>
      </c>
      <c r="M19" s="60" t="s">
        <v>88</v>
      </c>
      <c r="N19" s="54" t="e">
        <f>N15*B28/18/(E3/10000)</f>
        <v>#DIV/0!</v>
      </c>
    </row>
    <row r="20" spans="1:20" x14ac:dyDescent="0.2">
      <c r="A20" s="37">
        <v>-0.77</v>
      </c>
      <c r="B20" s="6">
        <f>-1/A20</f>
        <v>1.2987012987012987</v>
      </c>
      <c r="C20" s="84">
        <v>1.4474</v>
      </c>
      <c r="D20" s="7">
        <f t="shared" si="12"/>
        <v>0.21049900000000002</v>
      </c>
      <c r="E20" s="6">
        <f t="shared" si="13"/>
        <v>0.99665814156190147</v>
      </c>
      <c r="F20" s="9">
        <f t="shared" si="14"/>
        <v>99.665814156190152</v>
      </c>
      <c r="G20" s="9">
        <f t="shared" si="15"/>
        <v>0.33418584380984839</v>
      </c>
      <c r="H20" s="6">
        <f t="shared" si="16"/>
        <v>0.99364135430598721</v>
      </c>
      <c r="I20" s="9">
        <f t="shared" si="17"/>
        <v>99.364135430598722</v>
      </c>
      <c r="J20" s="10">
        <f t="shared" si="18"/>
        <v>-2.2196452274330589</v>
      </c>
      <c r="K20" s="10">
        <f t="shared" si="19"/>
        <v>1.4496452274330589</v>
      </c>
      <c r="M20" s="19"/>
      <c r="N20" s="20"/>
      <c r="R20" s="11"/>
      <c r="S20" s="10"/>
      <c r="T20" s="10"/>
    </row>
    <row r="21" spans="1:20" x14ac:dyDescent="0.2">
      <c r="D21" s="7"/>
      <c r="E21" s="6"/>
      <c r="F21" s="9"/>
      <c r="G21" s="9"/>
      <c r="H21" s="6"/>
      <c r="I21" s="9"/>
      <c r="J21" s="10"/>
      <c r="K21" s="10"/>
      <c r="R21" s="11"/>
      <c r="S21" s="10"/>
      <c r="T21" s="10"/>
    </row>
    <row r="22" spans="1:20" x14ac:dyDescent="0.2">
      <c r="B22" s="6"/>
      <c r="C22" s="38"/>
      <c r="D22" s="7"/>
      <c r="E22" s="6"/>
      <c r="F22" s="9"/>
      <c r="G22" s="9"/>
      <c r="H22" s="6"/>
      <c r="I22" s="9"/>
      <c r="J22" s="10"/>
      <c r="K22" s="10"/>
      <c r="L22" s="31"/>
      <c r="R22" s="11"/>
      <c r="S22" s="10"/>
      <c r="T22" s="10"/>
    </row>
    <row r="23" spans="1:20" x14ac:dyDescent="0.2">
      <c r="A23" s="37"/>
      <c r="B23" s="6"/>
      <c r="C23" s="38"/>
      <c r="D23" s="7"/>
      <c r="E23" s="6"/>
      <c r="F23" s="9"/>
      <c r="G23" s="9"/>
      <c r="H23" s="6"/>
      <c r="I23" s="9"/>
      <c r="J23" s="10"/>
      <c r="K23" s="10"/>
      <c r="R23" s="11"/>
      <c r="S23" s="10"/>
      <c r="T23" s="10"/>
    </row>
    <row r="24" spans="1:20" x14ac:dyDescent="0.2">
      <c r="A24" s="82"/>
      <c r="B24" s="6"/>
      <c r="C24" s="84"/>
      <c r="D24" s="7"/>
      <c r="E24" s="6"/>
      <c r="F24" s="9"/>
      <c r="G24" s="9"/>
      <c r="H24" s="6"/>
      <c r="I24" s="9"/>
      <c r="J24" s="10"/>
      <c r="K24" s="10"/>
      <c r="S24" s="10"/>
      <c r="T24" s="10"/>
    </row>
    <row r="25" spans="1:20" x14ac:dyDescent="0.2">
      <c r="A25" s="3"/>
      <c r="B25" s="3"/>
      <c r="C25" s="3"/>
      <c r="D25" s="7"/>
      <c r="E25" s="6"/>
      <c r="F25" s="9"/>
      <c r="G25" s="9"/>
      <c r="H25" s="6"/>
      <c r="I25" s="9"/>
      <c r="J25" s="10"/>
      <c r="K25" s="10"/>
      <c r="S25" s="10"/>
      <c r="T25" s="10"/>
    </row>
    <row r="26" spans="1:20" x14ac:dyDescent="0.2">
      <c r="A26" s="14" t="s">
        <v>4</v>
      </c>
      <c r="B26" s="14"/>
      <c r="C26" s="24"/>
      <c r="D26" s="15"/>
      <c r="J26" s="48" t="s">
        <v>30</v>
      </c>
      <c r="S26" s="10"/>
      <c r="T26" s="10"/>
    </row>
    <row r="27" spans="1:20" x14ac:dyDescent="0.2">
      <c r="A27" s="3" t="s">
        <v>50</v>
      </c>
      <c r="B27" s="35">
        <f>STDEV(D8:D11)/STDEV(A8:A11)</f>
        <v>1.0665344956787039E-2</v>
      </c>
      <c r="C27" s="5" t="s">
        <v>48</v>
      </c>
      <c r="D27" s="36">
        <f>COUNT(D8:D11)</f>
        <v>4</v>
      </c>
      <c r="J27" s="49" t="s">
        <v>50</v>
      </c>
      <c r="K27" s="41">
        <f>-STDEV(B12:B16)/STDEV(G12:G16)</f>
        <v>-8.6270706371779707E-3</v>
      </c>
      <c r="S27" s="10"/>
      <c r="T27" s="10"/>
    </row>
    <row r="28" spans="1:20" ht="16" x14ac:dyDescent="0.2">
      <c r="A28" s="3" t="s">
        <v>3</v>
      </c>
      <c r="B28" s="30">
        <f>AVERAGE(D8:D11)-B27*AVERAGE(A8:A11)</f>
        <v>0.21120481659851684</v>
      </c>
      <c r="C28" s="33" t="s">
        <v>6</v>
      </c>
      <c r="J28" s="49" t="s">
        <v>3</v>
      </c>
      <c r="K28" s="42">
        <f>AVERAGE(B12:B16)-K27*AVERAGE(G12:G16)</f>
        <v>0.45340549218008397</v>
      </c>
      <c r="S28" s="10"/>
      <c r="T28" s="10"/>
    </row>
    <row r="29" spans="1:20" x14ac:dyDescent="0.2">
      <c r="J29" s="5" t="s">
        <v>48</v>
      </c>
      <c r="K29" s="61">
        <f>COUNT(H11:H16)</f>
        <v>5</v>
      </c>
      <c r="S29" s="10"/>
      <c r="T29" s="10"/>
    </row>
    <row r="31" spans="1:20" x14ac:dyDescent="0.2">
      <c r="J31" s="103" t="s">
        <v>107</v>
      </c>
      <c r="K31" s="103">
        <f>-1/K28</f>
        <v>-2.2055312898654065</v>
      </c>
    </row>
    <row r="32" spans="1:20" x14ac:dyDescent="0.2">
      <c r="J32" s="103" t="s">
        <v>108</v>
      </c>
      <c r="K32" s="103">
        <f>-K31</f>
        <v>2.2055312898654065</v>
      </c>
    </row>
    <row r="33" spans="10:20" x14ac:dyDescent="0.2">
      <c r="J33" s="103" t="s">
        <v>117</v>
      </c>
      <c r="K33" s="103">
        <f>-(INTERCEPT(K8:K10,G8:G10)/(SLOPE(K8:K10,G8:G10)))</f>
        <v>14.121802801791372</v>
      </c>
    </row>
    <row r="34" spans="10:20" x14ac:dyDescent="0.2">
      <c r="J34" s="103" t="s">
        <v>111</v>
      </c>
      <c r="K34" s="103">
        <f>100-K33</f>
        <v>85.878197198208625</v>
      </c>
      <c r="S34" s="16"/>
      <c r="T34" s="16"/>
    </row>
    <row r="35" spans="10:20" x14ac:dyDescent="0.2">
      <c r="J35" s="103" t="s">
        <v>112</v>
      </c>
      <c r="K35" s="103">
        <f>-1/(K27*(K33)+K28)</f>
        <v>-3.0159025354265463</v>
      </c>
    </row>
    <row r="36" spans="10:20" x14ac:dyDescent="0.2">
      <c r="J36" s="103" t="s">
        <v>113</v>
      </c>
      <c r="K36" s="103">
        <f>K32/((100-K34)/100)</f>
        <v>15.617915933407815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2"/>
  <sheetViews>
    <sheetView zoomScale="85" zoomScaleNormal="85" workbookViewId="0">
      <selection activeCell="K27" sqref="K27:K32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5.5" customWidth="1"/>
    <col min="13" max="13" width="11.6640625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3" x14ac:dyDescent="0.2">
      <c r="O1" s="18"/>
    </row>
    <row r="2" spans="1:23" x14ac:dyDescent="0.2">
      <c r="A2" s="1" t="s">
        <v>45</v>
      </c>
      <c r="B2" s="2"/>
      <c r="C2" s="4"/>
      <c r="O2" s="18"/>
    </row>
    <row r="3" spans="1:23" x14ac:dyDescent="0.2">
      <c r="A3" s="3" t="s">
        <v>49</v>
      </c>
      <c r="B3" s="40">
        <v>1.29375</v>
      </c>
      <c r="C3" s="3"/>
      <c r="D3" t="s">
        <v>35</v>
      </c>
      <c r="E3" s="40"/>
    </row>
    <row r="4" spans="1:23" x14ac:dyDescent="0.2">
      <c r="A4" s="3" t="s">
        <v>46</v>
      </c>
      <c r="B4" s="40">
        <v>0.17519999999999999</v>
      </c>
      <c r="C4" s="3"/>
    </row>
    <row r="5" spans="1:23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3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3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B24/B4</f>
        <v>1.0941459947637115</v>
      </c>
      <c r="O7" t="s">
        <v>7</v>
      </c>
      <c r="Q7" s="3"/>
    </row>
    <row r="8" spans="1:23" ht="16" thickBot="1" x14ac:dyDescent="0.25">
      <c r="A8" s="37">
        <v>-0.35599999999999998</v>
      </c>
      <c r="B8" s="6">
        <f t="shared" ref="B8:B17" si="0">-1/A8</f>
        <v>2.808988764044944</v>
      </c>
      <c r="C8" s="84">
        <v>1.6547000000000001</v>
      </c>
      <c r="D8" s="7">
        <f>C8-$B$3-$B$4</f>
        <v>0.18575000000000011</v>
      </c>
      <c r="E8" s="6">
        <f>(D8/$B$24)</f>
        <v>0.96899033588852179</v>
      </c>
      <c r="F8" s="9">
        <f t="shared" ref="F8" si="1">100*E8</f>
        <v>96.899033588852177</v>
      </c>
      <c r="G8" s="9">
        <f t="shared" ref="G8" si="2">100-F8</f>
        <v>3.100966411147823</v>
      </c>
      <c r="H8" s="6">
        <f>(E8-N$10/100)/(1-N$10/100)</f>
        <v>0.98344189681537264</v>
      </c>
      <c r="I8" s="9">
        <f>H8*100</f>
        <v>98.344189681537259</v>
      </c>
      <c r="J8" s="10">
        <f>-1/($K$24+$K$23*G8)</f>
        <v>-2.6425991140124601</v>
      </c>
      <c r="K8" s="10">
        <f t="shared" ref="K8" si="3">A8-J8</f>
        <v>2.2865991140124602</v>
      </c>
      <c r="M8" s="62" t="s">
        <v>52</v>
      </c>
      <c r="N8" s="66">
        <f>-1/K24</f>
        <v>-2.5988426852070372</v>
      </c>
      <c r="O8" t="s">
        <v>8</v>
      </c>
      <c r="Q8" s="3"/>
    </row>
    <row r="9" spans="1:23" x14ac:dyDescent="0.2">
      <c r="A9" s="82">
        <v>-0.73199999999999998</v>
      </c>
      <c r="B9" s="6">
        <f t="shared" si="0"/>
        <v>1.3661202185792349</v>
      </c>
      <c r="C9" s="38">
        <v>1.64646</v>
      </c>
      <c r="D9" s="7">
        <f t="shared" ref="D9:D20" si="4">C9-$B$3-$B$4</f>
        <v>0.17751000000000008</v>
      </c>
      <c r="E9" s="6">
        <f t="shared" ref="E9:E20" si="5">(D9/$B$24)</f>
        <v>0.92600524642568771</v>
      </c>
      <c r="F9" s="9">
        <f t="shared" ref="F9:F20" si="6">100*E9</f>
        <v>92.600524642568772</v>
      </c>
      <c r="G9" s="9">
        <f t="shared" ref="G9:G20" si="7">100-F9</f>
        <v>7.3994753574312284</v>
      </c>
      <c r="H9" s="6">
        <f t="shared" ref="H9:H20" si="8">(E9-N$10/100)/(1-N$10/100)</f>
        <v>0.96048932486337313</v>
      </c>
      <c r="I9" s="9">
        <f t="shared" ref="I9:I20" si="9">H9*100</f>
        <v>96.048932486337307</v>
      </c>
      <c r="J9" s="10">
        <f t="shared" ref="J9:J20" si="10">-1/($K$24+$K$23*G9)</f>
        <v>-2.7057486407532068</v>
      </c>
      <c r="K9" s="10">
        <f t="shared" ref="K9:K20" si="11">A9-J9</f>
        <v>1.9737486407532068</v>
      </c>
      <c r="M9" s="67" t="s">
        <v>47</v>
      </c>
      <c r="N9" s="68">
        <f>J12</f>
        <v>-2.9879812780298152</v>
      </c>
      <c r="O9" t="s">
        <v>67</v>
      </c>
      <c r="Q9" s="3"/>
      <c r="W9" t="s">
        <v>105</v>
      </c>
    </row>
    <row r="10" spans="1:23" x14ac:dyDescent="0.2">
      <c r="A10" s="82">
        <v>-1.3859999999999999</v>
      </c>
      <c r="B10" s="6">
        <f t="shared" si="0"/>
        <v>0.72150072150072153</v>
      </c>
      <c r="C10" s="38">
        <v>1.6362399999999999</v>
      </c>
      <c r="D10" s="7">
        <f t="shared" si="4"/>
        <v>0.16728999999999997</v>
      </c>
      <c r="E10" s="6">
        <f t="shared" si="5"/>
        <v>0.87269121556280316</v>
      </c>
      <c r="F10" s="9">
        <f t="shared" si="6"/>
        <v>87.269121556280311</v>
      </c>
      <c r="G10" s="9">
        <f t="shared" si="7"/>
        <v>12.730878443719689</v>
      </c>
      <c r="H10" s="6">
        <f t="shared" si="8"/>
        <v>0.93202145042776174</v>
      </c>
      <c r="I10" s="9">
        <f t="shared" si="9"/>
        <v>93.202145042776181</v>
      </c>
      <c r="J10" s="10">
        <f t="shared" si="10"/>
        <v>-2.7883936405264804</v>
      </c>
      <c r="K10" s="10">
        <f t="shared" si="11"/>
        <v>1.4023936405264805</v>
      </c>
      <c r="M10" s="62" t="s">
        <v>82</v>
      </c>
      <c r="N10" s="63">
        <f>100+(K24/K23)</f>
        <v>-87.277876974869343</v>
      </c>
      <c r="O10" t="s">
        <v>8</v>
      </c>
      <c r="Q10" s="3"/>
    </row>
    <row r="11" spans="1:23" ht="16.5" customHeight="1" thickBot="1" x14ac:dyDescent="0.25">
      <c r="A11" s="95">
        <v>-2.1230000000000002</v>
      </c>
      <c r="B11" s="25">
        <f t="shared" si="0"/>
        <v>0.4710315591144606</v>
      </c>
      <c r="C11" s="85">
        <v>1.62554</v>
      </c>
      <c r="D11" s="26">
        <f t="shared" si="4"/>
        <v>0.15659000000000003</v>
      </c>
      <c r="E11" s="27">
        <f t="shared" si="5"/>
        <v>0.8168731989059681</v>
      </c>
      <c r="F11" s="28">
        <f t="shared" si="6"/>
        <v>81.687319890596811</v>
      </c>
      <c r="G11" s="28">
        <f t="shared" si="7"/>
        <v>18.312680109403189</v>
      </c>
      <c r="H11" s="27">
        <f t="shared" si="8"/>
        <v>0.90221653296582072</v>
      </c>
      <c r="I11" s="28">
        <f t="shared" si="9"/>
        <v>90.221653296582076</v>
      </c>
      <c r="J11" s="29">
        <f t="shared" si="10"/>
        <v>-2.8805088249313764</v>
      </c>
      <c r="K11" s="29">
        <f t="shared" si="11"/>
        <v>0.75750882493137617</v>
      </c>
      <c r="M11" s="81" t="s">
        <v>84</v>
      </c>
      <c r="N11" s="69">
        <f>F12</f>
        <v>75.609937703193737</v>
      </c>
      <c r="O11" t="s">
        <v>57</v>
      </c>
      <c r="Q11" s="6"/>
    </row>
    <row r="12" spans="1:23" x14ac:dyDescent="0.2">
      <c r="A12" s="96">
        <v>-2.548</v>
      </c>
      <c r="B12" s="97">
        <f t="shared" si="0"/>
        <v>0.39246467817896391</v>
      </c>
      <c r="C12" s="98">
        <v>1.61389</v>
      </c>
      <c r="D12" s="7">
        <f t="shared" si="4"/>
        <v>0.1449400000000001</v>
      </c>
      <c r="E12" s="6">
        <f t="shared" si="5"/>
        <v>0.7560993770319373</v>
      </c>
      <c r="F12" s="9">
        <f t="shared" si="6"/>
        <v>75.609937703193737</v>
      </c>
      <c r="G12" s="9">
        <f t="shared" si="7"/>
        <v>24.390062296806263</v>
      </c>
      <c r="H12" s="6">
        <f t="shared" si="8"/>
        <v>0.86976538451426821</v>
      </c>
      <c r="I12" s="9">
        <f t="shared" si="9"/>
        <v>86.976538451426819</v>
      </c>
      <c r="J12" s="10">
        <f t="shared" si="10"/>
        <v>-2.9879812780298152</v>
      </c>
      <c r="K12" s="10">
        <f t="shared" si="11"/>
        <v>0.43998127802981513</v>
      </c>
      <c r="M12" s="70" t="s">
        <v>85</v>
      </c>
      <c r="N12" s="71">
        <f>I12</f>
        <v>86.976538451426819</v>
      </c>
      <c r="O12" t="s">
        <v>66</v>
      </c>
      <c r="Q12" s="3"/>
    </row>
    <row r="13" spans="1:23" ht="16" x14ac:dyDescent="0.2">
      <c r="A13" s="82">
        <v>-3.024</v>
      </c>
      <c r="B13" s="6">
        <f t="shared" si="0"/>
        <v>0.3306878306878307</v>
      </c>
      <c r="C13" s="84">
        <v>1.6015299999999999</v>
      </c>
      <c r="D13" s="7">
        <f t="shared" si="4"/>
        <v>0.13257999999999995</v>
      </c>
      <c r="E13" s="6">
        <f t="shared" si="5"/>
        <v>0.69162174283768552</v>
      </c>
      <c r="F13" s="9">
        <f t="shared" si="6"/>
        <v>69.16217428376855</v>
      </c>
      <c r="G13" s="9">
        <f t="shared" si="7"/>
        <v>30.83782571623145</v>
      </c>
      <c r="H13" s="6">
        <f t="shared" si="8"/>
        <v>0.83533652658626856</v>
      </c>
      <c r="I13" s="9">
        <f t="shared" si="9"/>
        <v>83.533652658626849</v>
      </c>
      <c r="J13" s="10">
        <f t="shared" si="10"/>
        <v>-3.1111325824905656</v>
      </c>
      <c r="K13" s="10">
        <f t="shared" si="11"/>
        <v>8.7132582490565547E-2</v>
      </c>
      <c r="M13" s="72" t="s">
        <v>83</v>
      </c>
      <c r="N13" s="73">
        <f>STDEV(K8:K12)/STDEV(E8:E12)</f>
        <v>9.2279745031440505</v>
      </c>
      <c r="O13" t="s">
        <v>58</v>
      </c>
      <c r="Q13" s="3"/>
    </row>
    <row r="14" spans="1:23" ht="18" x14ac:dyDescent="0.2">
      <c r="A14" s="99">
        <v>-3.3079999999999998</v>
      </c>
      <c r="B14" s="86">
        <f t="shared" si="0"/>
        <v>0.30229746070133012</v>
      </c>
      <c r="C14" s="38">
        <v>1.5862799999999999</v>
      </c>
      <c r="D14" s="7">
        <f t="shared" si="4"/>
        <v>0.11732999999999996</v>
      </c>
      <c r="E14" s="6">
        <f t="shared" si="5"/>
        <v>0.61206802750901834</v>
      </c>
      <c r="F14" s="9">
        <f t="shared" si="6"/>
        <v>61.206802750901836</v>
      </c>
      <c r="G14" s="9">
        <f t="shared" si="7"/>
        <v>38.793197249098164</v>
      </c>
      <c r="H14" s="6">
        <f t="shared" si="8"/>
        <v>0.79285755543724046</v>
      </c>
      <c r="I14" s="9">
        <f t="shared" si="9"/>
        <v>79.285755543724051</v>
      </c>
      <c r="J14" s="10">
        <f t="shared" si="10"/>
        <v>-3.2778178972814889</v>
      </c>
      <c r="K14" s="10">
        <f t="shared" si="11"/>
        <v>-3.0182102718510961E-2</v>
      </c>
      <c r="M14" s="74" t="s">
        <v>1</v>
      </c>
      <c r="N14" s="75">
        <f>STDEV(K8:K12)/STDEV(H8:H12)</f>
        <v>17.281954737270414</v>
      </c>
      <c r="O14" t="s">
        <v>65</v>
      </c>
    </row>
    <row r="15" spans="1:23" ht="16" x14ac:dyDescent="0.2">
      <c r="A15" s="82">
        <v>-3.3450000000000002</v>
      </c>
      <c r="B15" s="23">
        <f t="shared" si="0"/>
        <v>0.29895366218236169</v>
      </c>
      <c r="C15" s="83">
        <v>1.5774999999999999</v>
      </c>
      <c r="D15" s="7">
        <f t="shared" si="4"/>
        <v>0.10854999999999995</v>
      </c>
      <c r="E15" s="6">
        <f t="shared" si="5"/>
        <v>0.56626595402798885</v>
      </c>
      <c r="F15" s="9">
        <f t="shared" si="6"/>
        <v>56.626595402798884</v>
      </c>
      <c r="G15" s="9">
        <f t="shared" si="7"/>
        <v>43.373404597201116</v>
      </c>
      <c r="H15" s="6">
        <f t="shared" si="8"/>
        <v>0.76840081008061956</v>
      </c>
      <c r="I15" s="9">
        <f t="shared" si="9"/>
        <v>76.840081008061958</v>
      </c>
      <c r="J15" s="10">
        <f t="shared" si="10"/>
        <v>-3.3821446452332213</v>
      </c>
      <c r="K15" s="10">
        <f t="shared" si="11"/>
        <v>3.7144645233221141E-2</v>
      </c>
      <c r="M15" s="76" t="s">
        <v>86</v>
      </c>
      <c r="N15" s="77">
        <f>STDEV(E8:E12)/STDEV(A8:A12)</f>
        <v>9.2280003664812038E-2</v>
      </c>
      <c r="O15" t="s">
        <v>59</v>
      </c>
      <c r="Q15" s="3"/>
    </row>
    <row r="16" spans="1:23" ht="16" x14ac:dyDescent="0.2">
      <c r="A16" s="82">
        <v>-3.5819999999999999</v>
      </c>
      <c r="B16" s="23">
        <f t="shared" si="0"/>
        <v>0.27917364600781686</v>
      </c>
      <c r="C16" s="39">
        <v>1.5622</v>
      </c>
      <c r="D16" s="7">
        <f t="shared" si="4"/>
        <v>9.3250000000000083E-2</v>
      </c>
      <c r="E16" s="6">
        <f t="shared" si="5"/>
        <v>0.48645140684578564</v>
      </c>
      <c r="F16" s="9">
        <f t="shared" si="6"/>
        <v>48.645140684578564</v>
      </c>
      <c r="G16" s="9">
        <f t="shared" si="7"/>
        <v>51.354859315421436</v>
      </c>
      <c r="H16" s="6">
        <f t="shared" si="8"/>
        <v>0.72578256361634896</v>
      </c>
      <c r="I16" s="9">
        <f t="shared" si="9"/>
        <v>72.578256361634899</v>
      </c>
      <c r="J16" s="10">
        <f t="shared" si="10"/>
        <v>-3.5807455503722925</v>
      </c>
      <c r="K16" s="10">
        <f t="shared" si="11"/>
        <v>-1.2544496277073769E-3</v>
      </c>
      <c r="M16" s="70" t="s">
        <v>87</v>
      </c>
      <c r="N16" s="78">
        <f>STDEV(E12:E18)/STDEV(A12:A18)</f>
        <v>0.2951367462147213</v>
      </c>
      <c r="O16" t="s">
        <v>60</v>
      </c>
      <c r="Q16" s="3"/>
      <c r="R16" s="3"/>
      <c r="S16" s="3"/>
      <c r="T16" s="3"/>
      <c r="U16" s="3"/>
      <c r="V16" s="3"/>
    </row>
    <row r="17" spans="1:23" ht="16" x14ac:dyDescent="0.2">
      <c r="A17" s="82">
        <v>-3.8858000000000001</v>
      </c>
      <c r="B17" s="23">
        <f t="shared" si="0"/>
        <v>0.25734726439857941</v>
      </c>
      <c r="C17" s="39">
        <v>1.5421199999999999</v>
      </c>
      <c r="D17" s="7">
        <f t="shared" si="4"/>
        <v>7.3169999999999985E-2</v>
      </c>
      <c r="E17" s="6">
        <f t="shared" si="5"/>
        <v>0.38170133446548093</v>
      </c>
      <c r="F17" s="9">
        <f t="shared" si="6"/>
        <v>38.170133446548093</v>
      </c>
      <c r="G17" s="9">
        <f t="shared" si="7"/>
        <v>61.829866553451907</v>
      </c>
      <c r="H17" s="6">
        <f t="shared" si="8"/>
        <v>0.66984959701487423</v>
      </c>
      <c r="I17" s="9">
        <f t="shared" si="9"/>
        <v>66.984959701487426</v>
      </c>
      <c r="J17" s="10">
        <f t="shared" si="10"/>
        <v>-3.8797406116067701</v>
      </c>
      <c r="K17" s="10">
        <f t="shared" si="11"/>
        <v>-6.0593883932300585E-3</v>
      </c>
      <c r="M17" s="70" t="s">
        <v>53</v>
      </c>
      <c r="N17" s="78">
        <f>STDEV(H8:H12)/STDEV(A8:A12)</f>
        <v>4.927437514533288E-2</v>
      </c>
      <c r="O17" t="s">
        <v>62</v>
      </c>
      <c r="W17">
        <f>7.4893/0.0974</f>
        <v>76.892197125256672</v>
      </c>
    </row>
    <row r="18" spans="1:23" ht="16" x14ac:dyDescent="0.2">
      <c r="A18" s="94"/>
      <c r="B18" s="23"/>
      <c r="C18" s="31"/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STDEV(H12:H18)/STDEV(A12:A18)</f>
        <v>0.15759295811235907</v>
      </c>
      <c r="O18" t="s">
        <v>63</v>
      </c>
    </row>
    <row r="19" spans="1:23" ht="16" x14ac:dyDescent="0.2">
      <c r="A19" s="100" t="s">
        <v>102</v>
      </c>
      <c r="B19" s="23"/>
      <c r="C19" s="31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N15*B24/18/(E3/10000)</f>
        <v>#DIV/0!</v>
      </c>
    </row>
    <row r="20" spans="1:23" x14ac:dyDescent="0.2">
      <c r="A20" s="101">
        <v>-0.33300000000000002</v>
      </c>
      <c r="B20" s="23">
        <f>-1/A20</f>
        <v>3.0030030030030028</v>
      </c>
      <c r="C20" s="49">
        <v>1.6875</v>
      </c>
      <c r="D20" s="7">
        <f t="shared" si="4"/>
        <v>0.21855000000000005</v>
      </c>
      <c r="E20" s="6">
        <f t="shared" si="5"/>
        <v>1.1400960318085402</v>
      </c>
      <c r="F20" s="9">
        <f t="shared" si="6"/>
        <v>114.00960318085403</v>
      </c>
      <c r="G20" s="9">
        <f t="shared" si="7"/>
        <v>-14.009603180854029</v>
      </c>
      <c r="H20" s="6">
        <f t="shared" si="8"/>
        <v>1.0748065036145937</v>
      </c>
      <c r="I20" s="9">
        <f t="shared" si="9"/>
        <v>107.48065036145937</v>
      </c>
      <c r="J20" s="10">
        <f t="shared" si="10"/>
        <v>-2.4179633045269839</v>
      </c>
      <c r="K20" s="10">
        <f t="shared" si="11"/>
        <v>2.0849633045269838</v>
      </c>
      <c r="M20" s="19"/>
      <c r="N20" s="20"/>
      <c r="R20" s="11"/>
      <c r="S20" s="10"/>
      <c r="T20" s="10"/>
    </row>
    <row r="21" spans="1:23" x14ac:dyDescent="0.2">
      <c r="A21" s="82"/>
      <c r="B21" s="6"/>
      <c r="C21" s="38"/>
      <c r="D21" s="7"/>
      <c r="E21" s="6"/>
      <c r="F21" s="9"/>
      <c r="G21" s="9"/>
      <c r="H21" s="6"/>
      <c r="I21" s="9"/>
      <c r="J21" s="10"/>
      <c r="K21" s="10"/>
      <c r="S21" s="10"/>
      <c r="T21" s="10"/>
    </row>
    <row r="22" spans="1:23" x14ac:dyDescent="0.2">
      <c r="A22" s="14" t="s">
        <v>4</v>
      </c>
      <c r="B22" s="14"/>
      <c r="C22" s="24"/>
      <c r="D22" s="15"/>
      <c r="J22" s="48" t="s">
        <v>30</v>
      </c>
      <c r="S22" s="10"/>
      <c r="T22" s="10"/>
    </row>
    <row r="23" spans="1:23" x14ac:dyDescent="0.2">
      <c r="A23" s="3" t="s">
        <v>50</v>
      </c>
      <c r="B23" s="35">
        <f>STDEV(D8:D12)/STDEV(A8:A12)</f>
        <v>1.7689557930442402E-2</v>
      </c>
      <c r="C23" s="5" t="s">
        <v>48</v>
      </c>
      <c r="D23" s="36">
        <f>COUNT(D8:D12)</f>
        <v>5</v>
      </c>
      <c r="J23" s="49" t="s">
        <v>50</v>
      </c>
      <c r="K23" s="41">
        <f>-STDEV(B14:B18)/STDEV(G14:G18)</f>
        <v>-2.0546295562664154E-3</v>
      </c>
      <c r="S23" s="10"/>
      <c r="T23" s="10"/>
    </row>
    <row r="24" spans="1:23" ht="16" x14ac:dyDescent="0.2">
      <c r="A24" s="3" t="s">
        <v>3</v>
      </c>
      <c r="B24" s="30">
        <f>AVERAGE(D8:D12)-B23*AVERAGE(A8:A12)</f>
        <v>0.19169437828260225</v>
      </c>
      <c r="C24" s="33" t="s">
        <v>6</v>
      </c>
      <c r="J24" s="49" t="s">
        <v>3</v>
      </c>
      <c r="K24" s="42">
        <f>AVERAGE(B14:B18)-K23*AVERAGE(G14:G18)</f>
        <v>0.38478666126739214</v>
      </c>
      <c r="S24" s="10"/>
      <c r="T24" s="10"/>
    </row>
    <row r="25" spans="1:23" x14ac:dyDescent="0.2">
      <c r="J25" s="5" t="s">
        <v>48</v>
      </c>
      <c r="K25" s="61">
        <f>COUNT(H12:H18)</f>
        <v>6</v>
      </c>
      <c r="S25" s="10"/>
      <c r="T25" s="10"/>
    </row>
    <row r="26" spans="1:23" x14ac:dyDescent="0.2">
      <c r="S26" s="10"/>
      <c r="T26" s="10"/>
    </row>
    <row r="27" spans="1:23" x14ac:dyDescent="0.2">
      <c r="J27" s="103" t="s">
        <v>107</v>
      </c>
      <c r="K27" s="103">
        <f>-1/K24</f>
        <v>-2.5988426852070372</v>
      </c>
    </row>
    <row r="28" spans="1:23" x14ac:dyDescent="0.2">
      <c r="J28" s="103" t="s">
        <v>108</v>
      </c>
      <c r="K28" s="103">
        <f>-K27</f>
        <v>2.5988426852070372</v>
      </c>
    </row>
    <row r="29" spans="1:23" x14ac:dyDescent="0.2">
      <c r="J29" s="103" t="s">
        <v>117</v>
      </c>
      <c r="K29" s="103">
        <f>-(INTERCEPT(K8:K11,G8:G11)/(SLOPE(K8:K11,G8:G11)))</f>
        <v>26.161297101466989</v>
      </c>
    </row>
    <row r="30" spans="1:23" x14ac:dyDescent="0.2">
      <c r="J30" s="103" t="s">
        <v>111</v>
      </c>
      <c r="K30" s="103">
        <f>100-K29</f>
        <v>73.838702898533015</v>
      </c>
    </row>
    <row r="31" spans="1:23" x14ac:dyDescent="0.2">
      <c r="J31" s="103" t="s">
        <v>112</v>
      </c>
      <c r="K31" s="103">
        <f>-1/(K23*(K29)+K24)</f>
        <v>-3.0208296443461777</v>
      </c>
      <c r="S31" s="16"/>
      <c r="T31" s="16"/>
    </row>
    <row r="32" spans="1:23" x14ac:dyDescent="0.2">
      <c r="J32" s="103" t="s">
        <v>113</v>
      </c>
      <c r="K32" s="103">
        <f>K28/((100-K30)/100)</f>
        <v>9.9339213767856638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8"/>
  <sheetViews>
    <sheetView tabSelected="1" topLeftCell="A4" zoomScale="95" zoomScaleNormal="95" workbookViewId="0">
      <selection activeCell="I15" sqref="I15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12.6640625" bestFit="1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1.2855399999999999</v>
      </c>
      <c r="C3" s="3"/>
      <c r="D3" t="s">
        <v>35</v>
      </c>
      <c r="E3" s="40"/>
    </row>
    <row r="4" spans="1:22" x14ac:dyDescent="0.2">
      <c r="A4" s="3" t="s">
        <v>46</v>
      </c>
      <c r="B4" s="40">
        <v>0.16358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9"/>
      <c r="K7" s="56" t="s">
        <v>43</v>
      </c>
      <c r="L7" s="56" t="s">
        <v>44</v>
      </c>
      <c r="M7" s="64" t="s">
        <v>2</v>
      </c>
      <c r="N7" s="65">
        <f>B29/B4</f>
        <v>0.85559747694209798</v>
      </c>
      <c r="O7" t="s">
        <v>7</v>
      </c>
      <c r="Q7" s="3"/>
    </row>
    <row r="8" spans="1:22" ht="16" thickBot="1" x14ac:dyDescent="0.25">
      <c r="A8" s="82">
        <v>-0.52200000000000002</v>
      </c>
      <c r="B8" s="6">
        <f t="shared" ref="B8:B14" si="0">-1/A8</f>
        <v>1.9157088122605364</v>
      </c>
      <c r="C8" s="38">
        <v>1.5838699999999999</v>
      </c>
      <c r="D8" s="7">
        <f>C8-$B$3-$B$4</f>
        <v>0.13474999999999998</v>
      </c>
      <c r="E8" s="6">
        <f>(D8/$B$29)</f>
        <v>0.96278446651158411</v>
      </c>
      <c r="F8" s="9">
        <f t="shared" ref="F8" si="1">100*E8</f>
        <v>96.278446651158418</v>
      </c>
      <c r="G8" s="9">
        <f t="shared" ref="G8" si="2">100-F8</f>
        <v>3.7215533488415815</v>
      </c>
      <c r="H8" s="6">
        <f>(E8-N$10/100)/(1-N$10/100)</f>
        <v>0.95687545977321131</v>
      </c>
      <c r="I8" s="9">
        <f>H8*100</f>
        <v>95.687545977321136</v>
      </c>
      <c r="J8" s="9">
        <f>100-I8</f>
        <v>4.3124540226788639</v>
      </c>
      <c r="K8" s="10">
        <f>-1/($K$29+$K$28*G8)</f>
        <v>-2.5649159437272537</v>
      </c>
      <c r="L8" s="10">
        <f>A8-K8</f>
        <v>2.0429159437272535</v>
      </c>
      <c r="M8" s="62" t="s">
        <v>52</v>
      </c>
      <c r="N8" s="66">
        <f>-1/K29</f>
        <v>-2.4543051229336563</v>
      </c>
      <c r="O8" t="s">
        <v>8</v>
      </c>
      <c r="Q8" s="3"/>
    </row>
    <row r="9" spans="1:22" x14ac:dyDescent="0.2">
      <c r="A9" s="82">
        <v>-1.2949999999999999</v>
      </c>
      <c r="B9" s="6">
        <f t="shared" si="0"/>
        <v>0.77220077220077221</v>
      </c>
      <c r="C9" s="38">
        <v>1.5744499999999999</v>
      </c>
      <c r="D9" s="7">
        <f t="shared" ref="D9" si="3">C9-$B$3-$B$4</f>
        <v>0.12533</v>
      </c>
      <c r="E9" s="6">
        <f t="shared" ref="E9" si="4">(D9/$B$29)</f>
        <v>0.89547886595841819</v>
      </c>
      <c r="F9" s="9">
        <f t="shared" ref="F9" si="5">100*E9</f>
        <v>89.547886595841817</v>
      </c>
      <c r="G9" s="9">
        <f t="shared" ref="G9" si="6">100-F9</f>
        <v>10.452113404158183</v>
      </c>
      <c r="H9" s="6">
        <f>(E9-N$10/100)/(1-N$10/100)</f>
        <v>0.87888321281411175</v>
      </c>
      <c r="I9" s="9">
        <f t="shared" ref="I9" si="7">H9*100</f>
        <v>87.88832128141118</v>
      </c>
      <c r="J9" s="9">
        <f t="shared" ref="J9:J14" si="8">100-I9</f>
        <v>12.11167871858882</v>
      </c>
      <c r="K9" s="10">
        <f>-1/($K$29+$K$28*G9)</f>
        <v>-2.7925270242392881</v>
      </c>
      <c r="L9" s="10">
        <f>A9-K9</f>
        <v>1.4975270242392882</v>
      </c>
      <c r="M9" s="67" t="s">
        <v>47</v>
      </c>
      <c r="N9" s="68">
        <f>K11</f>
        <v>-3.508401961228484</v>
      </c>
      <c r="O9" t="s">
        <v>67</v>
      </c>
      <c r="Q9" s="3"/>
    </row>
    <row r="10" spans="1:22" ht="16" thickBot="1" x14ac:dyDescent="0.25">
      <c r="A10" s="95">
        <v>-2.4049999999999998</v>
      </c>
      <c r="B10" s="25">
        <f t="shared" si="0"/>
        <v>0.41580041580041582</v>
      </c>
      <c r="C10" s="85">
        <v>1.56304</v>
      </c>
      <c r="D10" s="26">
        <f t="shared" ref="D10:D20" si="9">C10-$B$3-$B$4</f>
        <v>0.11392000000000008</v>
      </c>
      <c r="E10" s="27">
        <f t="shared" ref="E10:E20" si="10">(D10/$B$29)</f>
        <v>0.81395477866419108</v>
      </c>
      <c r="F10" s="28">
        <f t="shared" ref="F10:F20" si="11">100*E10</f>
        <v>81.395477866419114</v>
      </c>
      <c r="G10" s="28">
        <f t="shared" ref="G10:G20" si="12">100-F10</f>
        <v>18.604522133580886</v>
      </c>
      <c r="H10" s="27">
        <f>(E10-N$10/100)/(1-N$10/100)</f>
        <v>0.78441489669910935</v>
      </c>
      <c r="I10" s="28">
        <f t="shared" ref="I10:I20" si="13">H10*100</f>
        <v>78.441489669910936</v>
      </c>
      <c r="J10" s="9">
        <f t="shared" si="8"/>
        <v>21.558510330089064</v>
      </c>
      <c r="K10" s="29">
        <f>-1/($K$29+$K$28*G10)</f>
        <v>-3.1288354329597761</v>
      </c>
      <c r="L10" s="29">
        <f>A10-K10</f>
        <v>0.72383543295977626</v>
      </c>
      <c r="M10" s="62" t="s">
        <v>82</v>
      </c>
      <c r="N10" s="63">
        <f>100+(K29/K28)</f>
        <v>13.702190695362233</v>
      </c>
      <c r="O10" t="s">
        <v>8</v>
      </c>
      <c r="Q10" s="3"/>
    </row>
    <row r="11" spans="1:22" ht="16.5" customHeight="1" x14ac:dyDescent="0.2">
      <c r="A11" s="96">
        <v>-3.37</v>
      </c>
      <c r="B11" s="97">
        <f t="shared" si="0"/>
        <v>0.29673590504451036</v>
      </c>
      <c r="C11" s="98">
        <v>1.5527899999999999</v>
      </c>
      <c r="D11" s="7">
        <f t="shared" si="9"/>
        <v>0.10366999999999998</v>
      </c>
      <c r="E11" s="6">
        <f t="shared" si="10"/>
        <v>0.74071885449540575</v>
      </c>
      <c r="F11" s="9">
        <f t="shared" si="11"/>
        <v>74.071885449540574</v>
      </c>
      <c r="G11" s="9">
        <f t="shared" si="12"/>
        <v>25.928114550459426</v>
      </c>
      <c r="H11" s="6">
        <f>(E11-N$10/100)/(1-N$10/100)</f>
        <v>0.69955072139860208</v>
      </c>
      <c r="I11" s="9">
        <f t="shared" si="13"/>
        <v>69.955072139860206</v>
      </c>
      <c r="J11" s="9">
        <f t="shared" si="8"/>
        <v>30.044927860139794</v>
      </c>
      <c r="K11" s="10">
        <f>-1/($K$29+$K$28*G11)</f>
        <v>-3.508401961228484</v>
      </c>
      <c r="L11" s="10">
        <f>A11-K11</f>
        <v>0.13840196122848392</v>
      </c>
      <c r="M11" s="81" t="s">
        <v>84</v>
      </c>
      <c r="N11" s="69">
        <f>F11</f>
        <v>74.071885449540574</v>
      </c>
      <c r="O11" t="s">
        <v>57</v>
      </c>
      <c r="Q11" s="6"/>
    </row>
    <row r="12" spans="1:22" x14ac:dyDescent="0.2">
      <c r="A12" s="82">
        <v>-4.2699999999999996</v>
      </c>
      <c r="B12" s="6">
        <f t="shared" si="0"/>
        <v>0.23419203747072601</v>
      </c>
      <c r="C12" s="84">
        <v>1.54162</v>
      </c>
      <c r="D12" s="7">
        <f t="shared" si="9"/>
        <v>9.2500000000000082E-2</v>
      </c>
      <c r="E12" s="6">
        <f t="shared" si="10"/>
        <v>0.66090955957196007</v>
      </c>
      <c r="F12" s="9">
        <f t="shared" si="11"/>
        <v>66.090955957196002</v>
      </c>
      <c r="G12" s="9">
        <f t="shared" si="12"/>
        <v>33.909044042803998</v>
      </c>
      <c r="H12" s="6">
        <f>(E12-N$10/100)/(1-N$10/100)</f>
        <v>0.60706946890039215</v>
      </c>
      <c r="I12" s="9">
        <f t="shared" si="13"/>
        <v>60.706946890039212</v>
      </c>
      <c r="J12" s="9">
        <f t="shared" si="8"/>
        <v>39.293053109960788</v>
      </c>
      <c r="K12" s="10">
        <f>-1/($K$29+$K$28*G12)</f>
        <v>-4.0428735897050334</v>
      </c>
      <c r="L12" s="10">
        <f>A12-K12</f>
        <v>-0.22712641029496616</v>
      </c>
      <c r="M12" s="70" t="s">
        <v>85</v>
      </c>
      <c r="N12" s="71">
        <f>I11</f>
        <v>69.955072139860206</v>
      </c>
      <c r="O12" t="s">
        <v>66</v>
      </c>
      <c r="Q12" s="3"/>
    </row>
    <row r="13" spans="1:22" ht="16" x14ac:dyDescent="0.2">
      <c r="A13" s="99">
        <v>-5.3520000000000003</v>
      </c>
      <c r="B13" s="86">
        <f t="shared" si="0"/>
        <v>0.18684603886397608</v>
      </c>
      <c r="C13" s="38">
        <v>1.52616</v>
      </c>
      <c r="D13" s="7">
        <f t="shared" si="9"/>
        <v>7.7040000000000053E-2</v>
      </c>
      <c r="E13" s="6">
        <f t="shared" si="10"/>
        <v>0.55044835102079781</v>
      </c>
      <c r="F13" s="9">
        <f t="shared" si="11"/>
        <v>55.04483510207978</v>
      </c>
      <c r="G13" s="9">
        <f t="shared" si="12"/>
        <v>44.95516489792022</v>
      </c>
      <c r="H13" s="6">
        <f>(E13-N$10/100)/(1-N$10/100)</f>
        <v>0.47906945425201813</v>
      </c>
      <c r="I13" s="9">
        <f t="shared" si="13"/>
        <v>47.906945425201812</v>
      </c>
      <c r="J13" s="9">
        <f t="shared" si="8"/>
        <v>52.093054574798188</v>
      </c>
      <c r="K13" s="10">
        <f>-1/($K$29+$K$28*G13)</f>
        <v>-5.1230674407443031</v>
      </c>
      <c r="L13" s="10">
        <f>A13-K13</f>
        <v>-0.22893255925569722</v>
      </c>
      <c r="M13" s="72" t="s">
        <v>83</v>
      </c>
      <c r="N13" s="73">
        <f>STDEV(L8:L11)/STDEV(E8:E11)</f>
        <v>8.6894007297740963</v>
      </c>
      <c r="O13" t="s">
        <v>58</v>
      </c>
      <c r="Q13" s="3"/>
    </row>
    <row r="14" spans="1:22" ht="18" x14ac:dyDescent="0.2">
      <c r="A14" s="82">
        <v>-6.9720000000000004</v>
      </c>
      <c r="B14" s="23">
        <f t="shared" si="0"/>
        <v>0.14343086632243257</v>
      </c>
      <c r="C14" s="83">
        <v>1.5079100000000001</v>
      </c>
      <c r="D14" s="7">
        <f t="shared" si="9"/>
        <v>5.8790000000000175E-2</v>
      </c>
      <c r="E14" s="6">
        <f t="shared" si="10"/>
        <v>0.42005268115930394</v>
      </c>
      <c r="F14" s="9">
        <f t="shared" si="11"/>
        <v>42.005268115930392</v>
      </c>
      <c r="G14" s="9">
        <f t="shared" si="12"/>
        <v>57.994731884069608</v>
      </c>
      <c r="H14" s="6">
        <f>(E14-N$10/100)/(1-N$10/100)</f>
        <v>0.32796982505843414</v>
      </c>
      <c r="I14" s="9">
        <f t="shared" si="13"/>
        <v>32.796982505843417</v>
      </c>
      <c r="J14" s="9">
        <f t="shared" si="8"/>
        <v>67.203017494156583</v>
      </c>
      <c r="K14" s="10">
        <f>-1/($K$29+$K$28*G14)</f>
        <v>-7.4833260117645723</v>
      </c>
      <c r="L14" s="10">
        <f>A14-K14</f>
        <v>0.51132601176457193</v>
      </c>
      <c r="M14" s="74" t="s">
        <v>1</v>
      </c>
      <c r="N14" s="75">
        <f>STDEV(L8:L11)/STDEV(H8:H11)</f>
        <v>7.4987624714962822</v>
      </c>
      <c r="O14" t="s">
        <v>65</v>
      </c>
    </row>
    <row r="15" spans="1:22" ht="16" x14ac:dyDescent="0.2">
      <c r="A15" s="82"/>
      <c r="B15" s="23"/>
      <c r="C15" s="39"/>
      <c r="D15" s="7"/>
      <c r="E15" s="6"/>
      <c r="F15" s="9"/>
      <c r="G15" s="9"/>
      <c r="H15" s="6"/>
      <c r="I15" s="9"/>
      <c r="J15" s="10"/>
      <c r="K15" s="10"/>
      <c r="M15" s="76" t="s">
        <v>86</v>
      </c>
      <c r="N15" s="77">
        <f>STDEV(E8:E11)/STDEV(A8:A11)</f>
        <v>7.7326532451317292E-2</v>
      </c>
      <c r="O15" t="s">
        <v>59</v>
      </c>
      <c r="Q15" s="3"/>
    </row>
    <row r="16" spans="1:22" ht="16" x14ac:dyDescent="0.2">
      <c r="A16" s="82"/>
      <c r="B16" s="23"/>
      <c r="C16" s="39"/>
      <c r="D16" s="7"/>
      <c r="E16" s="6"/>
      <c r="F16" s="9"/>
      <c r="G16" s="9"/>
      <c r="H16" s="6"/>
      <c r="I16" s="9"/>
      <c r="J16" s="10"/>
      <c r="K16" s="10"/>
      <c r="M16" s="70" t="s">
        <v>87</v>
      </c>
      <c r="N16" s="78">
        <f>STDEV(E11:E14)/STDEV(A11:A14)</f>
        <v>8.9858305697205876E-2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A17" s="94"/>
      <c r="B17" s="23"/>
      <c r="C17" s="31"/>
      <c r="D17" s="7"/>
      <c r="E17" s="6"/>
      <c r="F17" s="9"/>
      <c r="G17" s="9"/>
      <c r="H17" s="6">
        <f>AVERAGE(B12:B14)</f>
        <v>0.18815631421904488</v>
      </c>
      <c r="I17" s="9"/>
      <c r="J17" s="104">
        <f>-STDEV(B12:B14)/STDEV(G12:G14)</f>
        <v>-3.7651432971278942E-3</v>
      </c>
      <c r="K17" s="10">
        <f>J18/J17</f>
        <v>-95.59286160319482</v>
      </c>
      <c r="M17" s="70" t="s">
        <v>53</v>
      </c>
      <c r="N17" s="78">
        <f>STDEV(H8:H11)/STDEV(A8:A11)</f>
        <v>8.9604282048862324E-2</v>
      </c>
      <c r="O17" t="s">
        <v>62</v>
      </c>
    </row>
    <row r="18" spans="1:20" ht="16" x14ac:dyDescent="0.2">
      <c r="A18" s="100" t="s">
        <v>102</v>
      </c>
      <c r="B18" s="23"/>
      <c r="C18" s="31"/>
      <c r="D18" s="7"/>
      <c r="E18" s="6"/>
      <c r="F18" s="9"/>
      <c r="G18" s="9"/>
      <c r="H18" s="6">
        <f>AVERAGE(G12:G14)</f>
        <v>45.619646941597942</v>
      </c>
      <c r="I18" s="9"/>
      <c r="J18" s="105">
        <f>H17-J17*H18</f>
        <v>0.35992082211854343</v>
      </c>
      <c r="K18" s="10">
        <f>100+K17</f>
        <v>4.4071383968051805</v>
      </c>
      <c r="M18" s="79" t="s">
        <v>0</v>
      </c>
      <c r="N18" s="80">
        <f>STDEV(H11:H14)/STDEV(A11:A14)</f>
        <v>0.1041258247703592</v>
      </c>
      <c r="O18" t="s">
        <v>63</v>
      </c>
    </row>
    <row r="19" spans="1:20" ht="16" x14ac:dyDescent="0.2">
      <c r="A19" s="101"/>
      <c r="B19" s="23"/>
      <c r="C19" s="49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N15*B29/18/(E3/10000)</f>
        <v>#DIV/0!</v>
      </c>
    </row>
    <row r="20" spans="1:20" x14ac:dyDescent="0.2">
      <c r="A20" s="37">
        <v>-0.28199999999999997</v>
      </c>
      <c r="B20" s="6">
        <f>-1/A20</f>
        <v>3.5460992907801421</v>
      </c>
      <c r="C20" s="84">
        <v>1.5953900000000001</v>
      </c>
      <c r="D20" s="7">
        <f t="shared" si="9"/>
        <v>0.14627000000000018</v>
      </c>
      <c r="E20" s="6">
        <f t="shared" si="10"/>
        <v>1.0450945003090879</v>
      </c>
      <c r="F20" s="9">
        <f t="shared" si="11"/>
        <v>104.50945003090879</v>
      </c>
      <c r="G20" s="9">
        <f t="shared" si="12"/>
        <v>-4.5094500309087948</v>
      </c>
      <c r="H20" s="6">
        <f>(E20-N$10/100)/(1-N$10/100)</f>
        <v>1.0522545133792458</v>
      </c>
      <c r="I20" s="9">
        <f t="shared" si="13"/>
        <v>105.22545133792458</v>
      </c>
      <c r="J20" s="10">
        <f t="shared" ref="J20" si="14">-1/($K$29+$K$28*G20)</f>
        <v>-2.3324253702194326</v>
      </c>
      <c r="K20" s="10">
        <f t="shared" ref="K20" si="15">A20-J20</f>
        <v>2.0504253702194326</v>
      </c>
      <c r="M20" s="19"/>
      <c r="N20" s="20"/>
      <c r="R20" s="11"/>
      <c r="S20" s="10"/>
      <c r="T20" s="10"/>
    </row>
    <row r="21" spans="1:20" x14ac:dyDescent="0.2">
      <c r="A21" s="38"/>
      <c r="B21" s="23"/>
      <c r="C21" s="38"/>
      <c r="D21" s="7"/>
      <c r="E21" s="6"/>
      <c r="F21" s="9"/>
      <c r="G21" s="9"/>
      <c r="H21" s="6"/>
      <c r="I21" s="9"/>
      <c r="J21" s="10"/>
      <c r="K21" s="10"/>
      <c r="R21" s="11"/>
      <c r="S21" s="10"/>
      <c r="T21" s="10"/>
    </row>
    <row r="22" spans="1:20" x14ac:dyDescent="0.2">
      <c r="D22" s="7"/>
      <c r="E22" s="6"/>
      <c r="F22" s="9"/>
      <c r="G22" s="9"/>
      <c r="H22" s="6"/>
      <c r="I22" s="9"/>
      <c r="J22" s="10"/>
      <c r="K22" s="10"/>
      <c r="L22" s="31"/>
      <c r="R22" s="11"/>
      <c r="S22" s="10"/>
      <c r="T22" s="10"/>
    </row>
    <row r="23" spans="1:20" x14ac:dyDescent="0.2">
      <c r="A23" s="90"/>
      <c r="B23" s="6"/>
      <c r="C23" s="84"/>
      <c r="D23" s="7"/>
      <c r="E23" s="6"/>
      <c r="F23" s="9"/>
      <c r="G23" s="9"/>
      <c r="H23" s="6">
        <f>INTERCEPT(L8:L11,G8:G11)</f>
        <v>2.3752283192363546</v>
      </c>
      <c r="I23" s="9">
        <f>H23/H24</f>
        <v>-27.350824642947277</v>
      </c>
      <c r="J23" s="10"/>
      <c r="K23" s="10"/>
      <c r="R23" s="11"/>
      <c r="S23" s="10"/>
      <c r="T23" s="10"/>
    </row>
    <row r="24" spans="1:20" x14ac:dyDescent="0.2">
      <c r="A24" s="37"/>
      <c r="B24" s="6"/>
      <c r="C24" s="38"/>
      <c r="D24" s="7"/>
      <c r="E24" s="6"/>
      <c r="F24" s="9"/>
      <c r="G24" s="9"/>
      <c r="H24" s="6">
        <f>SLOPE(L8:L11,G8:G11)</f>
        <v>-8.684302393963958E-2</v>
      </c>
      <c r="I24" s="9"/>
      <c r="J24" s="10"/>
      <c r="K24" s="10"/>
      <c r="S24" s="10"/>
      <c r="T24" s="10"/>
    </row>
    <row r="25" spans="1:20" x14ac:dyDescent="0.2">
      <c r="S25" s="10"/>
      <c r="T25" s="10"/>
    </row>
    <row r="26" spans="1:20" x14ac:dyDescent="0.2">
      <c r="S26" s="10"/>
      <c r="T26" s="10"/>
    </row>
    <row r="27" spans="1:20" x14ac:dyDescent="0.2">
      <c r="A27" s="14" t="s">
        <v>4</v>
      </c>
      <c r="B27" s="14"/>
      <c r="C27" s="24"/>
      <c r="D27" s="15"/>
      <c r="J27" s="48" t="s">
        <v>30</v>
      </c>
      <c r="S27" s="10"/>
      <c r="T27" s="10"/>
    </row>
    <row r="28" spans="1:20" x14ac:dyDescent="0.2">
      <c r="A28" s="3" t="s">
        <v>50</v>
      </c>
      <c r="B28" s="35">
        <f>STDEV(D8:D11)/STDEV(A8:A11)</f>
        <v>1.0822515952680915E-2</v>
      </c>
      <c r="C28" s="5" t="s">
        <v>48</v>
      </c>
      <c r="D28" s="36">
        <f>COUNT(D8:D11)</f>
        <v>4</v>
      </c>
      <c r="J28" s="49" t="s">
        <v>50</v>
      </c>
      <c r="K28" s="41">
        <f>-STDEV(B11:B14)/STDEV(G11:G14)</f>
        <v>-4.721409558699154E-3</v>
      </c>
      <c r="M28">
        <f>STDEV(L8:L11)/STDEV(G8:G11)</f>
        <v>8.6894007297740938E-2</v>
      </c>
      <c r="S28" s="10"/>
      <c r="T28" s="10"/>
    </row>
    <row r="29" spans="1:20" ht="16" x14ac:dyDescent="0.2">
      <c r="A29" s="3" t="s">
        <v>3</v>
      </c>
      <c r="B29" s="30">
        <f>AVERAGE(D8:D11)-B28*AVERAGE(A8:A11)</f>
        <v>0.13995863527818839</v>
      </c>
      <c r="C29" s="33" t="s">
        <v>6</v>
      </c>
      <c r="J29" s="49" t="s">
        <v>3</v>
      </c>
      <c r="K29" s="42">
        <f>AVERAGE(B11:B14)-K28*AVERAGE(G11:G14)</f>
        <v>0.40744730174571353</v>
      </c>
      <c r="S29" s="10"/>
      <c r="T29" s="10"/>
    </row>
    <row r="30" spans="1:20" x14ac:dyDescent="0.2">
      <c r="J30" s="5" t="s">
        <v>48</v>
      </c>
      <c r="K30" s="61">
        <f>COUNT(H11:H14)</f>
        <v>4</v>
      </c>
    </row>
    <row r="32" spans="1:20" x14ac:dyDescent="0.2">
      <c r="J32" s="103" t="s">
        <v>107</v>
      </c>
      <c r="K32" s="103">
        <f>-1/K29</f>
        <v>-2.4543051229336563</v>
      </c>
      <c r="L32">
        <v>-2.4543051229336563</v>
      </c>
    </row>
    <row r="33" spans="10:20" x14ac:dyDescent="0.2">
      <c r="J33" s="103" t="s">
        <v>108</v>
      </c>
      <c r="K33" s="103">
        <f>-K32</f>
        <v>2.4543051229336563</v>
      </c>
      <c r="L33">
        <f>L32*-1</f>
        <v>2.4543051229336563</v>
      </c>
    </row>
    <row r="34" spans="10:20" x14ac:dyDescent="0.2">
      <c r="J34" s="103" t="s">
        <v>117</v>
      </c>
      <c r="K34" s="103">
        <f>-(INTERCEPT(L8:L11,G8:G11)/(SLOPE(L8:L11,G8:G11)))</f>
        <v>27.350824642947277</v>
      </c>
      <c r="L34" s="103">
        <f>-(INTERCEPT(L8:L11,J8:J11)/(SLOPE(L8:L11,J8:J11)))</f>
        <v>31.693532968370963</v>
      </c>
      <c r="S34" s="16"/>
      <c r="T34" s="16"/>
    </row>
    <row r="35" spans="10:20" x14ac:dyDescent="0.2">
      <c r="J35" s="103" t="s">
        <v>111</v>
      </c>
      <c r="K35" s="103">
        <f>100-K34</f>
        <v>72.649175357052727</v>
      </c>
      <c r="L35">
        <f>100-L34</f>
        <v>68.30646703162904</v>
      </c>
    </row>
    <row r="36" spans="10:20" x14ac:dyDescent="0.2">
      <c r="J36" s="103" t="s">
        <v>112</v>
      </c>
      <c r="K36" s="103">
        <f>-1/(K28*(K34)+K29)</f>
        <v>-3.5930787077557396</v>
      </c>
    </row>
    <row r="37" spans="10:20" x14ac:dyDescent="0.2">
      <c r="J37" s="103" t="s">
        <v>113</v>
      </c>
      <c r="K37" s="103">
        <f>K33/((100-K35)/100)</f>
        <v>8.9734227577175716</v>
      </c>
      <c r="L37" s="103">
        <f>L33/((100-L35)/100)</f>
        <v>7.7438672595540776</v>
      </c>
    </row>
    <row r="38" spans="10:20" x14ac:dyDescent="0.2">
      <c r="K38">
        <f>K33/(K34/100)</f>
        <v>8.9734227577175716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2"/>
  <sheetViews>
    <sheetView zoomScaleNormal="100" workbookViewId="0">
      <selection activeCell="K28" sqref="K28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5.5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4.9725799999999998</v>
      </c>
      <c r="C3" s="3"/>
      <c r="D3" t="s">
        <v>35</v>
      </c>
      <c r="E3" s="40"/>
    </row>
    <row r="4" spans="1:22" x14ac:dyDescent="0.2">
      <c r="A4" s="3" t="s">
        <v>46</v>
      </c>
      <c r="B4" s="40">
        <v>0.72204999999999997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 t="e">
        <f>B24/B4</f>
        <v>#DIV/0!</v>
      </c>
      <c r="O7" t="s">
        <v>7</v>
      </c>
      <c r="Q7" s="3"/>
    </row>
    <row r="8" spans="1:22" ht="16" thickBot="1" x14ac:dyDescent="0.25">
      <c r="A8" s="82"/>
      <c r="B8" s="23"/>
      <c r="C8" s="83"/>
      <c r="D8" s="7">
        <f>C8-$B$3-$B$4</f>
        <v>-5.6946300000000001</v>
      </c>
      <c r="E8" s="6" t="e">
        <f t="shared" ref="E8:E13" si="0">(D8/$B$24)</f>
        <v>#DIV/0!</v>
      </c>
      <c r="F8" s="9" t="e">
        <f t="shared" ref="F8" si="1">100*E8</f>
        <v>#DIV/0!</v>
      </c>
      <c r="G8" s="9" t="e">
        <f t="shared" ref="G8" si="2">100-F8</f>
        <v>#DIV/0!</v>
      </c>
      <c r="H8" s="6" t="e">
        <f>(E8-N$10/100)/(1-N$10/100)</f>
        <v>#DIV/0!</v>
      </c>
      <c r="I8" s="9" t="e">
        <f>H8*100</f>
        <v>#DIV/0!</v>
      </c>
      <c r="J8" s="10" t="e">
        <f t="shared" ref="J8:J13" si="3">-1/($K$24+$K$23*G8)</f>
        <v>#DIV/0!</v>
      </c>
      <c r="K8" s="10" t="e">
        <f t="shared" ref="K8" si="4">A8-J8</f>
        <v>#DIV/0!</v>
      </c>
      <c r="M8" s="62" t="s">
        <v>52</v>
      </c>
      <c r="N8" s="66" t="e">
        <f>-1/K24</f>
        <v>#DIV/0!</v>
      </c>
      <c r="O8" t="s">
        <v>8</v>
      </c>
      <c r="Q8" s="3"/>
    </row>
    <row r="9" spans="1:22" x14ac:dyDescent="0.2">
      <c r="A9" s="82"/>
      <c r="B9" s="23"/>
      <c r="C9" s="83"/>
      <c r="D9" s="7">
        <f t="shared" ref="D9" si="5">C9-$B$3-$B$4</f>
        <v>-5.6946300000000001</v>
      </c>
      <c r="E9" s="6" t="e">
        <f t="shared" si="0"/>
        <v>#DIV/0!</v>
      </c>
      <c r="F9" s="9" t="e">
        <f t="shared" ref="F9" si="6">100*E9</f>
        <v>#DIV/0!</v>
      </c>
      <c r="G9" s="9" t="e">
        <f t="shared" ref="G9" si="7">100-F9</f>
        <v>#DIV/0!</v>
      </c>
      <c r="H9" s="6" t="e">
        <f t="shared" ref="H9" si="8">(E9-N$10/100)/(1-N$10/100)</f>
        <v>#DIV/0!</v>
      </c>
      <c r="I9" s="9" t="e">
        <f t="shared" ref="I9" si="9">H9*100</f>
        <v>#DIV/0!</v>
      </c>
      <c r="J9" s="10" t="e">
        <f t="shared" si="3"/>
        <v>#DIV/0!</v>
      </c>
      <c r="K9" s="10" t="e">
        <f t="shared" ref="K9" si="10">A9-J9</f>
        <v>#DIV/0!</v>
      </c>
      <c r="M9" s="67" t="s">
        <v>47</v>
      </c>
      <c r="N9" s="68" t="e">
        <f>J12</f>
        <v>#DIV/0!</v>
      </c>
      <c r="O9" t="s">
        <v>67</v>
      </c>
      <c r="Q9" s="3"/>
    </row>
    <row r="10" spans="1:22" x14ac:dyDescent="0.2">
      <c r="A10" s="82"/>
      <c r="B10" s="89"/>
      <c r="C10" s="38"/>
      <c r="D10" s="7">
        <f t="shared" ref="D10:D18" si="11">C10-$B$3-$B$4</f>
        <v>-5.6946300000000001</v>
      </c>
      <c r="E10" s="6" t="e">
        <f t="shared" si="0"/>
        <v>#DIV/0!</v>
      </c>
      <c r="F10" s="9" t="e">
        <f t="shared" ref="F10:F18" si="12">100*E10</f>
        <v>#DIV/0!</v>
      </c>
      <c r="G10" s="9" t="e">
        <f t="shared" ref="G10:G18" si="13">100-F10</f>
        <v>#DIV/0!</v>
      </c>
      <c r="H10" s="6" t="e">
        <f t="shared" ref="H10:H18" si="14">(E10-N$10/100)/(1-N$10/100)</f>
        <v>#DIV/0!</v>
      </c>
      <c r="I10" s="9" t="e">
        <f t="shared" ref="I10:I18" si="15">H10*100</f>
        <v>#DIV/0!</v>
      </c>
      <c r="J10" s="10" t="e">
        <f t="shared" si="3"/>
        <v>#DIV/0!</v>
      </c>
      <c r="K10" s="10" t="e">
        <f t="shared" ref="K10:K18" si="16">A10-J10</f>
        <v>#DIV/0!</v>
      </c>
      <c r="M10" s="62" t="s">
        <v>82</v>
      </c>
      <c r="N10" s="63" t="e">
        <f>100+(K24/K23)</f>
        <v>#DIV/0!</v>
      </c>
      <c r="O10" t="s">
        <v>8</v>
      </c>
      <c r="Q10" s="3"/>
    </row>
    <row r="11" spans="1:22" ht="16.5" customHeight="1" thickBot="1" x14ac:dyDescent="0.25">
      <c r="A11" s="91"/>
      <c r="B11" s="93"/>
      <c r="C11" s="92"/>
      <c r="D11" s="26">
        <f t="shared" si="11"/>
        <v>-5.6946300000000001</v>
      </c>
      <c r="E11" s="27" t="e">
        <f t="shared" si="0"/>
        <v>#DIV/0!</v>
      </c>
      <c r="F11" s="28" t="e">
        <f t="shared" si="12"/>
        <v>#DIV/0!</v>
      </c>
      <c r="G11" s="28" t="e">
        <f t="shared" si="13"/>
        <v>#DIV/0!</v>
      </c>
      <c r="H11" s="27" t="e">
        <f t="shared" si="14"/>
        <v>#DIV/0!</v>
      </c>
      <c r="I11" s="28" t="e">
        <f t="shared" si="15"/>
        <v>#DIV/0!</v>
      </c>
      <c r="J11" s="29" t="e">
        <f t="shared" si="3"/>
        <v>#DIV/0!</v>
      </c>
      <c r="K11" s="29" t="e">
        <f t="shared" si="16"/>
        <v>#DIV/0!</v>
      </c>
      <c r="M11" s="81" t="s">
        <v>84</v>
      </c>
      <c r="N11" s="69" t="e">
        <f>F12</f>
        <v>#DIV/0!</v>
      </c>
      <c r="O11" t="s">
        <v>57</v>
      </c>
      <c r="Q11" s="6"/>
    </row>
    <row r="12" spans="1:22" x14ac:dyDescent="0.2">
      <c r="A12" s="82"/>
      <c r="B12" s="23"/>
      <c r="C12" s="38"/>
      <c r="D12" s="7">
        <f t="shared" si="11"/>
        <v>-5.6946300000000001</v>
      </c>
      <c r="E12" s="6" t="e">
        <f t="shared" si="0"/>
        <v>#DIV/0!</v>
      </c>
      <c r="F12" s="9" t="e">
        <f t="shared" si="12"/>
        <v>#DIV/0!</v>
      </c>
      <c r="G12" s="9" t="e">
        <f t="shared" si="13"/>
        <v>#DIV/0!</v>
      </c>
      <c r="H12" s="6" t="e">
        <f t="shared" si="14"/>
        <v>#DIV/0!</v>
      </c>
      <c r="I12" s="9" t="e">
        <f t="shared" si="15"/>
        <v>#DIV/0!</v>
      </c>
      <c r="J12" s="10" t="e">
        <f t="shared" si="3"/>
        <v>#DIV/0!</v>
      </c>
      <c r="K12" s="10" t="e">
        <f t="shared" si="16"/>
        <v>#DIV/0!</v>
      </c>
      <c r="M12" s="70" t="s">
        <v>85</v>
      </c>
      <c r="N12" s="71" t="e">
        <f>I12</f>
        <v>#DIV/0!</v>
      </c>
      <c r="O12" t="s">
        <v>66</v>
      </c>
      <c r="Q12" s="3"/>
    </row>
    <row r="13" spans="1:22" ht="16" x14ac:dyDescent="0.2">
      <c r="A13" s="82"/>
      <c r="B13" s="23"/>
      <c r="C13" s="38"/>
      <c r="D13" s="7">
        <f t="shared" si="11"/>
        <v>-5.6946300000000001</v>
      </c>
      <c r="E13" s="6" t="e">
        <f t="shared" si="0"/>
        <v>#DIV/0!</v>
      </c>
      <c r="F13" s="9" t="e">
        <f t="shared" si="12"/>
        <v>#DIV/0!</v>
      </c>
      <c r="G13" s="9" t="e">
        <f t="shared" si="13"/>
        <v>#DIV/0!</v>
      </c>
      <c r="H13" s="6" t="e">
        <f t="shared" si="14"/>
        <v>#DIV/0!</v>
      </c>
      <c r="I13" s="9" t="e">
        <f t="shared" si="15"/>
        <v>#DIV/0!</v>
      </c>
      <c r="J13" s="10" t="e">
        <f t="shared" si="3"/>
        <v>#DIV/0!</v>
      </c>
      <c r="K13" s="10" t="e">
        <f t="shared" si="16"/>
        <v>#DIV/0!</v>
      </c>
      <c r="M13" s="72" t="s">
        <v>83</v>
      </c>
      <c r="N13" s="73" t="e">
        <f>STDEV(K8:K12)/STDEV(E8:E12)</f>
        <v>#DIV/0!</v>
      </c>
      <c r="O13" t="s">
        <v>58</v>
      </c>
      <c r="Q13" s="3"/>
    </row>
    <row r="14" spans="1:22" ht="18" x14ac:dyDescent="0.2">
      <c r="D14" s="7"/>
      <c r="E14" s="6"/>
      <c r="F14" s="9"/>
      <c r="G14" s="9"/>
      <c r="H14" s="6"/>
      <c r="I14" s="9"/>
      <c r="J14" s="10"/>
      <c r="K14" s="10"/>
      <c r="M14" s="74" t="s">
        <v>1</v>
      </c>
      <c r="N14" s="75" t="e">
        <f>STDEV(K8:K12)/STDEV(H8:H12)</f>
        <v>#DIV/0!</v>
      </c>
      <c r="O14" t="s">
        <v>65</v>
      </c>
    </row>
    <row r="15" spans="1:22" ht="16" x14ac:dyDescent="0.2">
      <c r="A15" s="90"/>
      <c r="B15" s="23"/>
      <c r="C15" s="49"/>
      <c r="D15" s="7"/>
      <c r="E15" s="6"/>
      <c r="F15" s="9"/>
      <c r="G15" s="9"/>
      <c r="H15" s="6"/>
      <c r="I15" s="9"/>
      <c r="J15" s="10"/>
      <c r="K15" s="10"/>
      <c r="M15" s="76" t="s">
        <v>86</v>
      </c>
      <c r="N15" s="77" t="e">
        <f>STDEV(E8:E12)/STDEV(A8:A12)</f>
        <v>#DIV/0!</v>
      </c>
      <c r="O15" t="s">
        <v>59</v>
      </c>
      <c r="Q15" s="3"/>
    </row>
    <row r="16" spans="1:22" ht="16" x14ac:dyDescent="0.2">
      <c r="A16" s="82"/>
      <c r="B16" s="86"/>
      <c r="C16" s="38"/>
      <c r="D16" s="7">
        <f t="shared" si="11"/>
        <v>-5.6946300000000001</v>
      </c>
      <c r="E16" s="6" t="e">
        <f>(D16/$B$24)</f>
        <v>#DIV/0!</v>
      </c>
      <c r="F16" s="9" t="e">
        <f t="shared" si="12"/>
        <v>#DIV/0!</v>
      </c>
      <c r="G16" s="9" t="e">
        <f t="shared" si="13"/>
        <v>#DIV/0!</v>
      </c>
      <c r="H16" s="6" t="e">
        <f t="shared" si="14"/>
        <v>#DIV/0!</v>
      </c>
      <c r="I16" s="9" t="e">
        <f t="shared" si="15"/>
        <v>#DIV/0!</v>
      </c>
      <c r="J16" s="10" t="e">
        <f>-1/($K$24+$K$23*G16)</f>
        <v>#DIV/0!</v>
      </c>
      <c r="K16" s="10" t="e">
        <f t="shared" si="16"/>
        <v>#DIV/0!</v>
      </c>
      <c r="M16" s="70" t="s">
        <v>87</v>
      </c>
      <c r="N16" s="78" t="e">
        <f>STDEV(E12:E13)/STDEV(A12:A13)</f>
        <v>#DIV/0!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A17" s="82"/>
      <c r="B17" s="86"/>
      <c r="C17" s="38"/>
      <c r="D17" s="7">
        <f t="shared" si="11"/>
        <v>-5.6946300000000001</v>
      </c>
      <c r="E17" s="6" t="e">
        <f>(D17/$B$24)</f>
        <v>#DIV/0!</v>
      </c>
      <c r="F17" s="9" t="e">
        <f t="shared" si="12"/>
        <v>#DIV/0!</v>
      </c>
      <c r="G17" s="9" t="e">
        <f t="shared" si="13"/>
        <v>#DIV/0!</v>
      </c>
      <c r="H17" s="6" t="e">
        <f t="shared" si="14"/>
        <v>#DIV/0!</v>
      </c>
      <c r="I17" s="9" t="e">
        <f t="shared" si="15"/>
        <v>#DIV/0!</v>
      </c>
      <c r="J17" s="10" t="e">
        <f>-1/($K$24+$K$23*G17)</f>
        <v>#DIV/0!</v>
      </c>
      <c r="K17" s="10" t="e">
        <f t="shared" si="16"/>
        <v>#DIV/0!</v>
      </c>
      <c r="M17" s="70" t="s">
        <v>53</v>
      </c>
      <c r="N17" s="78" t="e">
        <f>STDEV(H8:H12)/STDEV(A8:A12)</f>
        <v>#DIV/0!</v>
      </c>
      <c r="O17" t="s">
        <v>62</v>
      </c>
    </row>
    <row r="18" spans="1:20" ht="16" x14ac:dyDescent="0.2">
      <c r="A18" s="82"/>
      <c r="B18" s="86"/>
      <c r="C18" s="38"/>
      <c r="D18" s="7">
        <f t="shared" si="11"/>
        <v>-5.6946300000000001</v>
      </c>
      <c r="E18" s="6" t="e">
        <f>(D18/$B$24)</f>
        <v>#DIV/0!</v>
      </c>
      <c r="F18" s="9" t="e">
        <f t="shared" si="12"/>
        <v>#DIV/0!</v>
      </c>
      <c r="G18" s="9" t="e">
        <f t="shared" si="13"/>
        <v>#DIV/0!</v>
      </c>
      <c r="H18" s="6" t="e">
        <f t="shared" si="14"/>
        <v>#DIV/0!</v>
      </c>
      <c r="I18" s="9" t="e">
        <f t="shared" si="15"/>
        <v>#DIV/0!</v>
      </c>
      <c r="J18" s="10" t="e">
        <f>-1/($K$24+$K$23*G18)</f>
        <v>#DIV/0!</v>
      </c>
      <c r="K18" s="10" t="e">
        <f t="shared" si="16"/>
        <v>#DIV/0!</v>
      </c>
      <c r="M18" s="79" t="s">
        <v>0</v>
      </c>
      <c r="N18" s="80" t="e">
        <f>STDEV(H12:H13)/STDEV(A12:A13)</f>
        <v>#DIV/0!</v>
      </c>
      <c r="O18" t="s">
        <v>63</v>
      </c>
    </row>
    <row r="19" spans="1:20" ht="16" x14ac:dyDescent="0.2">
      <c r="A19" s="94"/>
      <c r="B19" s="89"/>
      <c r="C19" s="49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N15*B24/18/(E3/10000)</f>
        <v>#DIV/0!</v>
      </c>
    </row>
    <row r="20" spans="1:20" x14ac:dyDescent="0.2">
      <c r="D20" s="7"/>
      <c r="E20" s="6"/>
      <c r="F20" s="9"/>
      <c r="G20" s="9"/>
      <c r="H20" s="6"/>
      <c r="I20" s="9"/>
      <c r="J20" s="10"/>
      <c r="K20" s="10"/>
      <c r="M20" s="19"/>
      <c r="N20" s="20"/>
      <c r="R20" s="11"/>
      <c r="S20" s="10"/>
      <c r="T20" s="10"/>
    </row>
    <row r="21" spans="1:20" x14ac:dyDescent="0.2">
      <c r="D21" s="7"/>
      <c r="E21" s="6"/>
      <c r="F21" s="9"/>
      <c r="G21" s="9"/>
      <c r="H21" s="6"/>
      <c r="I21" s="9"/>
      <c r="J21" s="10"/>
      <c r="K21" s="10"/>
      <c r="R21" s="11"/>
      <c r="S21" s="10"/>
      <c r="T21" s="10"/>
    </row>
    <row r="22" spans="1:20" x14ac:dyDescent="0.2">
      <c r="A22" s="14" t="s">
        <v>4</v>
      </c>
      <c r="B22" s="14"/>
      <c r="C22" s="24"/>
      <c r="D22" s="15"/>
      <c r="J22" s="48" t="s">
        <v>30</v>
      </c>
      <c r="L22" s="31"/>
      <c r="R22" s="11"/>
      <c r="S22" s="10"/>
      <c r="T22" s="10"/>
    </row>
    <row r="23" spans="1:20" x14ac:dyDescent="0.2">
      <c r="A23" s="3" t="s">
        <v>50</v>
      </c>
      <c r="B23" s="35" t="e">
        <f>STDEV(D8:D12)/STDEV(A8:A12)</f>
        <v>#DIV/0!</v>
      </c>
      <c r="C23" s="5" t="s">
        <v>48</v>
      </c>
      <c r="D23" s="36">
        <f>COUNT(D8:D12)</f>
        <v>5</v>
      </c>
      <c r="J23" s="49" t="s">
        <v>50</v>
      </c>
      <c r="K23" s="41" t="e">
        <f>-STDEV(B12:B13)/STDEV(G12:G13)</f>
        <v>#DIV/0!</v>
      </c>
      <c r="R23" s="11"/>
      <c r="S23" s="10"/>
      <c r="T23" s="10"/>
    </row>
    <row r="24" spans="1:20" ht="16" x14ac:dyDescent="0.2">
      <c r="A24" s="3" t="s">
        <v>3</v>
      </c>
      <c r="B24" s="30" t="e">
        <f>AVERAGE(D8:D12)-B23*AVERAGE(A8:A12)</f>
        <v>#DIV/0!</v>
      </c>
      <c r="C24" s="33" t="s">
        <v>6</v>
      </c>
      <c r="J24" s="49" t="s">
        <v>3</v>
      </c>
      <c r="K24" s="42" t="e">
        <f>AVERAGE(B12:B13)-K23*AVERAGE(G12:G13)</f>
        <v>#DIV/0!</v>
      </c>
      <c r="S24" s="10"/>
      <c r="T24" s="10"/>
    </row>
    <row r="25" spans="1:20" x14ac:dyDescent="0.2">
      <c r="J25" s="5" t="s">
        <v>48</v>
      </c>
      <c r="K25" s="61">
        <f>COUNT(H12:H13)</f>
        <v>0</v>
      </c>
      <c r="S25" s="10"/>
      <c r="T25" s="10"/>
    </row>
    <row r="26" spans="1:20" x14ac:dyDescent="0.2">
      <c r="S26" s="10"/>
      <c r="T26" s="10"/>
    </row>
    <row r="27" spans="1:20" x14ac:dyDescent="0.2">
      <c r="J27" s="103" t="s">
        <v>107</v>
      </c>
      <c r="K27" s="103" t="e">
        <f>-1/K24</f>
        <v>#DIV/0!</v>
      </c>
    </row>
    <row r="28" spans="1:20" x14ac:dyDescent="0.2">
      <c r="J28" s="103" t="s">
        <v>108</v>
      </c>
      <c r="K28" s="103" t="e">
        <f>-K27</f>
        <v>#DIV/0!</v>
      </c>
    </row>
    <row r="29" spans="1:20" x14ac:dyDescent="0.2">
      <c r="J29" s="103" t="s">
        <v>117</v>
      </c>
      <c r="K29" s="103" t="e">
        <f>-(INTERCEPT(K3:K5,G3:G5)/(SLOPE(K3:K5,G3:G5)))</f>
        <v>#DIV/0!</v>
      </c>
    </row>
    <row r="30" spans="1:20" x14ac:dyDescent="0.2">
      <c r="J30" s="103" t="s">
        <v>111</v>
      </c>
      <c r="K30" s="103" t="e">
        <f>100-K29</f>
        <v>#DIV/0!</v>
      </c>
    </row>
    <row r="31" spans="1:20" x14ac:dyDescent="0.2">
      <c r="J31" s="103" t="s">
        <v>112</v>
      </c>
      <c r="K31" s="103" t="e">
        <f>-1/(K23*(K29)+K24)</f>
        <v>#DIV/0!</v>
      </c>
      <c r="S31" s="16"/>
      <c r="T31" s="16"/>
    </row>
    <row r="32" spans="1:20" x14ac:dyDescent="0.2">
      <c r="J32" s="103" t="s">
        <v>113</v>
      </c>
      <c r="K32" s="103" t="e">
        <f>K28/((100-K30)/100)</f>
        <v>#DIV/0!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9"/>
  <sheetViews>
    <sheetView workbookViewId="0">
      <selection activeCell="H2" sqref="H2:I6"/>
    </sheetView>
  </sheetViews>
  <sheetFormatPr baseColWidth="10" defaultColWidth="8.83203125" defaultRowHeight="15" x14ac:dyDescent="0.2"/>
  <sheetData>
    <row r="1" spans="1:20" x14ac:dyDescent="0.2">
      <c r="A1" t="s">
        <v>101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Q1" s="103" t="s">
        <v>107</v>
      </c>
      <c r="R1" s="103" t="s">
        <v>111</v>
      </c>
      <c r="S1" s="103" t="s">
        <v>112</v>
      </c>
      <c r="T1" s="103" t="s">
        <v>113</v>
      </c>
    </row>
    <row r="2" spans="1:20" x14ac:dyDescent="0.2">
      <c r="A2">
        <v>1</v>
      </c>
      <c r="B2">
        <f>QUAG_1!N7</f>
        <v>1.010563295003186</v>
      </c>
      <c r="C2">
        <f>QUAG_1!N8</f>
        <v>-2.0291350590498949</v>
      </c>
      <c r="D2">
        <f>QUAG_1!N9</f>
        <v>-2.6944509347004142</v>
      </c>
      <c r="E2">
        <f>QUAG_1!N10</f>
        <v>-18.350143006001986</v>
      </c>
      <c r="F2">
        <f>QUAG_1!N11</f>
        <v>70.776892607934158</v>
      </c>
      <c r="G2">
        <f>QUAG_1!N12</f>
        <v>75.307923886003408</v>
      </c>
      <c r="H2">
        <f>QUAG_1!N13</f>
        <v>8.4368937702080515</v>
      </c>
      <c r="I2">
        <f>QUAG_1!N14</f>
        <v>9.9850758423057062</v>
      </c>
      <c r="J2">
        <f>QUAG_1!N15</f>
        <v>9.2486960621867662E-2</v>
      </c>
      <c r="K2">
        <f>QUAG_1!N16</f>
        <v>0.24266633412887775</v>
      </c>
      <c r="L2">
        <f>QUAG_1!N17</f>
        <v>7.8146893846319426E-2</v>
      </c>
      <c r="M2">
        <f>QUAG_1!N18</f>
        <v>0.20504101470884589</v>
      </c>
      <c r="N2" t="e">
        <f>QUAG_1!N19</f>
        <v>#DIV/0!</v>
      </c>
      <c r="Q2" s="103">
        <v>-2.0291350590498949</v>
      </c>
      <c r="R2" s="103">
        <v>75.950675756694906</v>
      </c>
      <c r="S2" s="103">
        <v>-2.5466207777195269</v>
      </c>
      <c r="T2" s="103">
        <v>8.4373890863680732</v>
      </c>
    </row>
    <row r="3" spans="1:20" x14ac:dyDescent="0.2">
      <c r="A3">
        <v>2</v>
      </c>
      <c r="B3">
        <f>QUAG_2!N7</f>
        <v>1.365242921647327</v>
      </c>
      <c r="C3">
        <f>QUAG_2!N8</f>
        <v>-2.0923488162039656</v>
      </c>
      <c r="D3">
        <f>QUAG_2!N9</f>
        <v>-3.0345656531335732</v>
      </c>
      <c r="E3">
        <f>QUAG_2!N10</f>
        <v>-20.827670751624339</v>
      </c>
      <c r="F3">
        <f>QUAG_2!N11</f>
        <v>62.483637277180918</v>
      </c>
      <c r="G3">
        <f>QUAG_2!N12</f>
        <v>68.950520613826583</v>
      </c>
      <c r="H3">
        <f>QUAG_2!N13</f>
        <v>5.0810744113230948</v>
      </c>
      <c r="I3">
        <f>QUAG_2!N14</f>
        <v>6.1393438603585055</v>
      </c>
      <c r="J3">
        <f>QUAG_2!N15</f>
        <v>0.13202527809474077</v>
      </c>
      <c r="K3">
        <f>QUAG_2!N16</f>
        <v>0.21982692346263685</v>
      </c>
      <c r="L3">
        <f>QUAG_2!N17</f>
        <v>0.10926741968413378</v>
      </c>
      <c r="M3">
        <f>QUAG_2!N18</f>
        <v>0.18193425570084554</v>
      </c>
      <c r="N3" t="e">
        <f>QUAG_2!N19</f>
        <v>#DIV/0!</v>
      </c>
      <c r="Q3" s="103">
        <v>-2.0923488162039656</v>
      </c>
      <c r="R3" s="103">
        <v>54.538844485554485</v>
      </c>
      <c r="S3" s="103">
        <v>-3.3544556633172951</v>
      </c>
      <c r="T3" s="103">
        <v>4.602498094310671</v>
      </c>
    </row>
    <row r="4" spans="1:20" x14ac:dyDescent="0.2">
      <c r="A4">
        <v>3</v>
      </c>
      <c r="B4">
        <f>QUAG_3!N7</f>
        <v>1.4915699729413119</v>
      </c>
      <c r="C4">
        <f>QUAG_3!N8</f>
        <v>-2.2055312898654065</v>
      </c>
      <c r="D4">
        <f>QUAG_3!N9</f>
        <v>-3.1148995002397379</v>
      </c>
      <c r="E4">
        <f>QUAG_3!N10</f>
        <v>47.443864638576912</v>
      </c>
      <c r="F4">
        <f>QUAG_3!N11</f>
        <v>84.656686755341525</v>
      </c>
      <c r="G4">
        <f>QUAG_3!N12</f>
        <v>70.80585712944054</v>
      </c>
      <c r="H4">
        <f>QUAG_3!N13</f>
        <v>13.591965292068179</v>
      </c>
      <c r="I4">
        <f>QUAG_3!N14</f>
        <v>7.1434116771770011</v>
      </c>
      <c r="J4">
        <f>QUAG_3!N15</f>
        <v>5.0497640766692303E-2</v>
      </c>
      <c r="K4">
        <f>QUAG_3!N16</f>
        <v>6.4519694419095969E-2</v>
      </c>
      <c r="L4">
        <f>QUAG_3!N17</f>
        <v>9.6083245884472368E-2</v>
      </c>
      <c r="M4">
        <f>QUAG_3!N18</f>
        <v>0.12276339189592421</v>
      </c>
      <c r="N4" t="e">
        <f>QUAG_3!N19</f>
        <v>#DIV/0!</v>
      </c>
      <c r="Q4" s="103">
        <v>-2.2055312898654065</v>
      </c>
      <c r="R4" s="103">
        <v>85.878197198208625</v>
      </c>
      <c r="S4" s="103">
        <v>-3.0159025354265463</v>
      </c>
      <c r="T4" s="103">
        <v>15.617915933407815</v>
      </c>
    </row>
    <row r="5" spans="1:20" x14ac:dyDescent="0.2">
      <c r="A5">
        <v>4</v>
      </c>
      <c r="B5">
        <f>QUAG_4!N7</f>
        <v>1.0941459947637115</v>
      </c>
      <c r="C5">
        <f>QUAG_4!N8</f>
        <v>-2.5988426852070372</v>
      </c>
      <c r="D5">
        <f>QUAG_4!N9</f>
        <v>-2.9879812780298152</v>
      </c>
      <c r="E5">
        <f>QUAG_4!N10</f>
        <v>-87.277876974869343</v>
      </c>
      <c r="F5">
        <f>QUAG_4!N11</f>
        <v>75.609937703193737</v>
      </c>
      <c r="G5">
        <f>QUAG_4!N12</f>
        <v>86.976538451426819</v>
      </c>
      <c r="H5">
        <f>QUAG_4!N13</f>
        <v>9.2279745031440505</v>
      </c>
      <c r="I5">
        <f>QUAG_4!N14</f>
        <v>17.281954737270414</v>
      </c>
      <c r="J5">
        <f>QUAG_4!N15</f>
        <v>9.2280003664812038E-2</v>
      </c>
      <c r="K5">
        <f>QUAG_4!N16</f>
        <v>0.2951367462147213</v>
      </c>
      <c r="L5">
        <f>QUAG_4!N17</f>
        <v>4.927437514533288E-2</v>
      </c>
      <c r="M5">
        <f>QUAG_4!N18</f>
        <v>0.15759295811235907</v>
      </c>
      <c r="N5" t="e">
        <f>QUAG_4!N19</f>
        <v>#DIV/0!</v>
      </c>
      <c r="Q5" s="103">
        <v>-2.5988426852070372</v>
      </c>
      <c r="R5" s="103">
        <v>73.838702898533015</v>
      </c>
      <c r="S5" s="103">
        <v>-3.0208296443461777</v>
      </c>
      <c r="T5" s="103">
        <v>9.9339213767856638</v>
      </c>
    </row>
    <row r="6" spans="1:20" x14ac:dyDescent="0.2">
      <c r="A6">
        <v>5</v>
      </c>
      <c r="B6">
        <f>QUAG_5!N7</f>
        <v>0.85559747694209798</v>
      </c>
      <c r="C6">
        <f>QUAG_5!N8</f>
        <v>-2.4543051229336563</v>
      </c>
      <c r="D6">
        <f>QUAG_5!N9</f>
        <v>-3.508401961228484</v>
      </c>
      <c r="E6">
        <f>QUAG_5!N10</f>
        <v>13.702190695362233</v>
      </c>
      <c r="F6">
        <f>QUAG_5!N11</f>
        <v>74.071885449540574</v>
      </c>
      <c r="G6">
        <f>QUAG_5!N12</f>
        <v>69.955072139860206</v>
      </c>
      <c r="H6">
        <f>QUAG_5!N13</f>
        <v>8.6894007297740963</v>
      </c>
      <c r="I6">
        <f>QUAG_5!N14</f>
        <v>7.4987624714962822</v>
      </c>
      <c r="J6">
        <f>QUAG_5!N15</f>
        <v>7.7326532451317292E-2</v>
      </c>
      <c r="K6">
        <f>QUAG_5!N16</f>
        <v>8.9858305697205876E-2</v>
      </c>
      <c r="L6">
        <f>QUAG_5!N17</f>
        <v>8.9604282048862324E-2</v>
      </c>
      <c r="M6">
        <f>QUAG_5!N18</f>
        <v>0.1041258247703592</v>
      </c>
      <c r="N6" t="e">
        <f>QUAG_5!N19</f>
        <v>#DIV/0!</v>
      </c>
      <c r="Q6" s="103">
        <v>-2.4543051229336563</v>
      </c>
      <c r="R6" s="103">
        <v>72.649175357052727</v>
      </c>
      <c r="S6" s="103">
        <v>-3.5930787077557396</v>
      </c>
      <c r="T6" s="103">
        <v>8.9734227577175716</v>
      </c>
    </row>
    <row r="7" spans="1:20" x14ac:dyDescent="0.2">
      <c r="A7">
        <v>6</v>
      </c>
    </row>
    <row r="10" spans="1:20" x14ac:dyDescent="0.2">
      <c r="A10" t="s">
        <v>103</v>
      </c>
      <c r="B10">
        <f>AVERAGE(B2:B7)</f>
        <v>1.1634239322595268</v>
      </c>
      <c r="C10">
        <f t="shared" ref="C10:N10" si="0">AVERAGE(C2:C7)</f>
        <v>-2.2760325946519919</v>
      </c>
      <c r="D10">
        <f t="shared" si="0"/>
        <v>-3.0680598654664051</v>
      </c>
      <c r="E10">
        <f t="shared" si="0"/>
        <v>-13.061927079711305</v>
      </c>
      <c r="F10">
        <f t="shared" si="0"/>
        <v>73.519807958638182</v>
      </c>
      <c r="G10">
        <f t="shared" si="0"/>
        <v>74.399182444111503</v>
      </c>
      <c r="H10">
        <f t="shared" si="0"/>
        <v>9.0054617413034954</v>
      </c>
      <c r="I10">
        <f t="shared" si="0"/>
        <v>9.6097097177215822</v>
      </c>
      <c r="J10">
        <f t="shared" si="0"/>
        <v>8.8923283119885996E-2</v>
      </c>
      <c r="K10">
        <f t="shared" si="0"/>
        <v>0.18240160078450757</v>
      </c>
      <c r="L10">
        <f t="shared" si="0"/>
        <v>8.447524332182417E-2</v>
      </c>
      <c r="M10">
        <f t="shared" si="0"/>
        <v>0.15429148903766676</v>
      </c>
      <c r="N10" t="e">
        <f t="shared" si="0"/>
        <v>#DIV/0!</v>
      </c>
    </row>
    <row r="11" spans="1:20" x14ac:dyDescent="0.2">
      <c r="A11" t="s">
        <v>104</v>
      </c>
      <c r="B11">
        <f t="shared" ref="B11:G11" si="1">STDEV(B2:B7)/SQRT(COUNT(B2:B7))</f>
        <v>0.11647610530319659</v>
      </c>
      <c r="C11">
        <f t="shared" si="1"/>
        <v>0.10854860810531766</v>
      </c>
      <c r="D11">
        <f t="shared" si="1"/>
        <v>0.13099870004308869</v>
      </c>
      <c r="E11">
        <f t="shared" si="1"/>
        <v>22.331086015951421</v>
      </c>
      <c r="F11">
        <f t="shared" si="1"/>
        <v>3.5918250873955575</v>
      </c>
      <c r="G11">
        <f t="shared" si="1"/>
        <v>3.3269033206359784</v>
      </c>
      <c r="H11">
        <f>STDEV(H2:H7)/SQRT(COUNT(H2:H7))</f>
        <v>1.358482733913726</v>
      </c>
      <c r="I11">
        <f t="shared" ref="I11:N11" si="2">STDEV(I2:I7)/SQRT(COUNT(I2:I7))</f>
        <v>2.0197327403962242</v>
      </c>
      <c r="J11">
        <f t="shared" si="2"/>
        <v>1.3215074644684726E-2</v>
      </c>
      <c r="K11">
        <f t="shared" si="2"/>
        <v>4.4834200780074475E-2</v>
      </c>
      <c r="L11">
        <f t="shared" si="2"/>
        <v>1.0136207125943592E-2</v>
      </c>
      <c r="M11">
        <f t="shared" si="2"/>
        <v>1.852181333381692E-2</v>
      </c>
      <c r="N11" t="e">
        <f t="shared" si="2"/>
        <v>#DIV/0!</v>
      </c>
    </row>
    <row r="14" spans="1:20" x14ac:dyDescent="0.2">
      <c r="P14" s="103"/>
    </row>
    <row r="15" spans="1:20" x14ac:dyDescent="0.2">
      <c r="P15" s="103"/>
    </row>
    <row r="16" spans="1:20" x14ac:dyDescent="0.2">
      <c r="P16" s="103"/>
    </row>
    <row r="17" spans="16:16" x14ac:dyDescent="0.2">
      <c r="P17" s="103"/>
    </row>
    <row r="18" spans="16:16" x14ac:dyDescent="0.2">
      <c r="P18" s="103"/>
    </row>
    <row r="19" spans="16:16" x14ac:dyDescent="0.2">
      <c r="P19" s="10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9"/>
  <sheetViews>
    <sheetView topLeftCell="A10" workbookViewId="0">
      <selection activeCell="B3" sqref="B3"/>
    </sheetView>
  </sheetViews>
  <sheetFormatPr baseColWidth="10" defaultColWidth="8.83203125" defaultRowHeight="15" x14ac:dyDescent="0.2"/>
  <cols>
    <col min="1" max="1" width="4.1640625" customWidth="1"/>
  </cols>
  <sheetData>
    <row r="1" spans="1:19" x14ac:dyDescent="0.2">
      <c r="A1" s="40" t="s">
        <v>38</v>
      </c>
      <c r="B1" s="40"/>
      <c r="C1" s="40"/>
      <c r="D1" s="40"/>
      <c r="E1" s="40"/>
    </row>
    <row r="2" spans="1:19" x14ac:dyDescent="0.2">
      <c r="A2" s="57" t="s">
        <v>39</v>
      </c>
      <c r="B2" s="57"/>
      <c r="C2" s="57"/>
      <c r="D2" s="57"/>
      <c r="E2" s="57"/>
    </row>
    <row r="3" spans="1:19" x14ac:dyDescent="0.2">
      <c r="A3" s="58" t="s">
        <v>40</v>
      </c>
      <c r="B3" s="58"/>
      <c r="C3" s="58"/>
      <c r="D3" s="58"/>
      <c r="E3" s="58"/>
    </row>
    <row r="5" spans="1:19" s="50" customFormat="1" x14ac:dyDescent="0.2">
      <c r="A5" s="50" t="s">
        <v>16</v>
      </c>
      <c r="M5"/>
      <c r="N5"/>
    </row>
    <row r="6" spans="1:19" ht="16" x14ac:dyDescent="0.2">
      <c r="A6" t="s">
        <v>17</v>
      </c>
      <c r="B6" s="32" t="s">
        <v>18</v>
      </c>
    </row>
    <row r="7" spans="1:19" s="31" customFormat="1" ht="16" x14ac:dyDescent="0.2">
      <c r="A7" s="31" t="s">
        <v>19</v>
      </c>
      <c r="B7" s="32" t="s">
        <v>37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1:19" s="31" customFormat="1" ht="16" x14ac:dyDescent="0.2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9" spans="1:19" s="51" customFormat="1" ht="16" x14ac:dyDescent="0.2">
      <c r="A9" s="51" t="s">
        <v>20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</row>
    <row r="10" spans="1:19" s="31" customFormat="1" ht="16" x14ac:dyDescent="0.2">
      <c r="A10" s="31" t="s">
        <v>17</v>
      </c>
      <c r="B10" s="45" t="s">
        <v>21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</row>
    <row r="11" spans="1:19" s="31" customFormat="1" ht="16" x14ac:dyDescent="0.2">
      <c r="A11" s="31" t="s">
        <v>19</v>
      </c>
      <c r="B11" s="32" t="s">
        <v>9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9" s="31" customFormat="1" ht="16" x14ac:dyDescent="0.2">
      <c r="A12" s="31" t="s">
        <v>22</v>
      </c>
      <c r="B12" s="33" t="s">
        <v>13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s="31" customFormat="1" ht="16.5" customHeight="1" x14ac:dyDescent="0.2">
      <c r="A13" s="31" t="s">
        <v>23</v>
      </c>
      <c r="B13" s="33" t="s">
        <v>11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s="31" customFormat="1" ht="16.5" customHeight="1" x14ac:dyDescent="0.2">
      <c r="A14" s="31" t="s">
        <v>24</v>
      </c>
      <c r="B14" s="33" t="s">
        <v>12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s="31" customFormat="1" ht="16.5" customHeight="1" x14ac:dyDescent="0.2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s="51" customFormat="1" ht="16" x14ac:dyDescent="0.2">
      <c r="A16" s="51" t="s">
        <v>25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</row>
    <row r="17" spans="1:18" s="31" customFormat="1" ht="18" x14ac:dyDescent="0.25">
      <c r="A17" s="31" t="s">
        <v>17</v>
      </c>
      <c r="B17" s="34" t="s">
        <v>26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1:18" s="31" customFormat="1" ht="16" x14ac:dyDescent="0.2">
      <c r="A18" s="31" t="s">
        <v>19</v>
      </c>
      <c r="B18" s="31" t="s">
        <v>14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s="31" customFormat="1" ht="16" x14ac:dyDescent="0.2">
      <c r="A19" s="31" t="s">
        <v>22</v>
      </c>
      <c r="B19" s="31" t="s">
        <v>15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s="31" customFormat="1" ht="16" x14ac:dyDescent="0.2">
      <c r="A20" s="31" t="s">
        <v>23</v>
      </c>
      <c r="B20" s="31" t="s">
        <v>29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s="31" customFormat="1" ht="16" x14ac:dyDescent="0.2">
      <c r="A21" s="31" t="s">
        <v>24</v>
      </c>
      <c r="B21" s="46" t="s">
        <v>5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 s="31" customFormat="1" ht="16" x14ac:dyDescent="0.2">
      <c r="A22" s="31" t="s">
        <v>27</v>
      </c>
      <c r="B22" s="47" t="s">
        <v>68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 s="31" customFormat="1" ht="16" x14ac:dyDescent="0.2">
      <c r="A23" s="31" t="s">
        <v>28</v>
      </c>
      <c r="B23" s="47" t="s">
        <v>31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1:18" s="31" customFormat="1" ht="16" x14ac:dyDescent="0.2">
      <c r="A24" s="31" t="s">
        <v>32</v>
      </c>
      <c r="B24" s="45" t="s">
        <v>69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</row>
    <row r="25" spans="1:18" s="31" customFormat="1" ht="16" x14ac:dyDescent="0.2">
      <c r="A25" s="31" t="s">
        <v>33</v>
      </c>
      <c r="B25" s="45" t="s">
        <v>70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1:18" s="31" customFormat="1" ht="16" x14ac:dyDescent="0.2">
      <c r="A26" s="31" t="s">
        <v>73</v>
      </c>
      <c r="B26" s="45" t="s">
        <v>71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spans="1:18" s="31" customFormat="1" ht="16" x14ac:dyDescent="0.2">
      <c r="A27" s="31" t="s">
        <v>74</v>
      </c>
      <c r="B27" s="45" t="s">
        <v>72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</row>
    <row r="28" spans="1:18" s="31" customFormat="1" ht="16" x14ac:dyDescent="0.2">
      <c r="B28" s="45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s="31" customFormat="1" ht="16" x14ac:dyDescent="0.2">
      <c r="B29" s="45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spans="1:18" s="51" customFormat="1" ht="16" x14ac:dyDescent="0.2">
      <c r="A30" s="53" t="s">
        <v>34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spans="1:18" s="31" customFormat="1" ht="16" x14ac:dyDescent="0.2">
      <c r="A31" s="31" t="s">
        <v>17</v>
      </c>
      <c r="B31" s="32" t="s">
        <v>75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1:18" s="31" customFormat="1" ht="16" x14ac:dyDescent="0.2">
      <c r="A32" s="31" t="s">
        <v>19</v>
      </c>
      <c r="B32" s="32" t="s">
        <v>76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spans="1:18" s="31" customFormat="1" ht="16" x14ac:dyDescent="0.2">
      <c r="A33" s="31" t="s">
        <v>22</v>
      </c>
      <c r="B33" s="32" t="s">
        <v>36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spans="1:18" s="32" customFormat="1" ht="16" x14ac:dyDescent="0.2">
      <c r="A34" s="32" t="s">
        <v>23</v>
      </c>
      <c r="B34" s="32" t="s">
        <v>77</v>
      </c>
    </row>
    <row r="35" spans="1:18" s="32" customFormat="1" ht="16" x14ac:dyDescent="0.2">
      <c r="A35" s="32" t="s">
        <v>24</v>
      </c>
      <c r="B35" s="32" t="s">
        <v>78</v>
      </c>
    </row>
    <row r="36" spans="1:18" s="32" customFormat="1" ht="16" x14ac:dyDescent="0.2">
      <c r="A36" s="32" t="s">
        <v>27</v>
      </c>
      <c r="B36" s="32" t="s">
        <v>79</v>
      </c>
    </row>
    <row r="37" spans="1:18" s="32" customFormat="1" ht="16" x14ac:dyDescent="0.2">
      <c r="A37" s="32" t="s">
        <v>28</v>
      </c>
      <c r="B37" s="32" t="s">
        <v>80</v>
      </c>
    </row>
    <row r="38" spans="1:18" s="31" customFormat="1" ht="16" x14ac:dyDescent="0.2">
      <c r="A38" s="31" t="s">
        <v>32</v>
      </c>
      <c r="B38" s="32" t="s">
        <v>81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</row>
    <row r="39" spans="1:18" s="31" customFormat="1" ht="16" x14ac:dyDescent="0.2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</row>
  </sheetData>
  <phoneticPr fontId="12" type="noConversion"/>
  <pageMargins left="0.7" right="0.7" top="0.75" bottom="0.75" header="0.3" footer="0.3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procedure</vt:lpstr>
      <vt:lpstr>QUAG_1</vt:lpstr>
      <vt:lpstr>QUAG_2</vt:lpstr>
      <vt:lpstr>QUAG_3</vt:lpstr>
      <vt:lpstr>QUAG_4</vt:lpstr>
      <vt:lpstr>QUAG_5</vt:lpstr>
      <vt:lpstr>QUAG_6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</dc:creator>
  <cp:lastModifiedBy>Marvin Browne</cp:lastModifiedBy>
  <cp:lastPrinted>2007-11-14T20:05:53Z</cp:lastPrinted>
  <dcterms:created xsi:type="dcterms:W3CDTF">2007-11-02T03:01:16Z</dcterms:created>
  <dcterms:modified xsi:type="dcterms:W3CDTF">2022-11-21T23:58:31Z</dcterms:modified>
</cp:coreProperties>
</file>